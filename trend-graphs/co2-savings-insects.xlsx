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1064\OneDrive - Scheer GmbH\Desktop\"/>
    </mc:Choice>
  </mc:AlternateContent>
  <xr:revisionPtr revIDLastSave="0" documentId="13_ncr:1_{A32EC97F-02D1-4720-996D-C64CA3888855}" xr6:coauthVersionLast="47" xr6:coauthVersionMax="47" xr10:uidLastSave="{00000000-0000-0000-0000-000000000000}"/>
  <bookViews>
    <workbookView xWindow="1968" yWindow="1608" windowWidth="23220" windowHeight="12360" xr2:uid="{4B0FFD96-04FB-494C-8A16-C7BAE43D29CD}"/>
  </bookViews>
  <sheets>
    <sheet name="Wesentliche Daten" sheetId="2" r:id="rId1"/>
    <sheet name="Dat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F24" i="2"/>
  <c r="E7" i="2"/>
  <c r="F101" i="1"/>
  <c r="F98" i="1"/>
  <c r="F97" i="1"/>
  <c r="F94" i="1"/>
  <c r="F95" i="1"/>
  <c r="F96" i="1"/>
  <c r="F93" i="1"/>
  <c r="F89" i="1"/>
  <c r="F90" i="1"/>
  <c r="F85" i="1"/>
  <c r="F86" i="1"/>
  <c r="F87" i="1"/>
  <c r="F88" i="1"/>
  <c r="F76" i="1"/>
  <c r="F80" i="1"/>
  <c r="F79" i="1"/>
  <c r="F78" i="1"/>
  <c r="F77" i="1"/>
  <c r="F6" i="2"/>
  <c r="F40" i="1"/>
  <c r="F69" i="1"/>
  <c r="F70" i="1"/>
  <c r="F71" i="1"/>
  <c r="F72" i="1"/>
  <c r="F68" i="1"/>
  <c r="H63" i="1"/>
  <c r="H62" i="1"/>
  <c r="H60" i="1"/>
  <c r="H61" i="1"/>
  <c r="G9" i="1"/>
  <c r="H6" i="1"/>
  <c r="F59" i="1"/>
  <c r="D59" i="1"/>
  <c r="D63" i="1"/>
  <c r="F63" i="1"/>
  <c r="F62" i="1"/>
  <c r="F61" i="1"/>
  <c r="F60" i="1"/>
  <c r="F51" i="1"/>
  <c r="F49" i="1"/>
  <c r="F48" i="1"/>
  <c r="F47" i="1"/>
  <c r="D62" i="1"/>
  <c r="D61" i="1"/>
  <c r="D60" i="1"/>
  <c r="D51" i="1"/>
  <c r="D49" i="1"/>
  <c r="D44" i="1"/>
  <c r="D43" i="1"/>
  <c r="D42" i="1"/>
  <c r="D41" i="1"/>
  <c r="D40" i="1"/>
  <c r="D32" i="1"/>
  <c r="D24" i="1"/>
  <c r="F81" i="1" l="1"/>
</calcChain>
</file>

<file path=xl/sharedStrings.xml><?xml version="1.0" encoding="utf-8"?>
<sst xmlns="http://schemas.openxmlformats.org/spreadsheetml/2006/main" count="184" uniqueCount="89">
  <si>
    <t xml:space="preserve">Mrd. Menschen </t>
  </si>
  <si>
    <t>Waste Entwicklung Mio. Tonnen Abfälle</t>
  </si>
  <si>
    <t>https://ourworldindata.org/emissions-by-sector</t>
  </si>
  <si>
    <t>Mrd. Tonnen co2e</t>
  </si>
  <si>
    <t>davon Viehzucht 5,8 %</t>
  </si>
  <si>
    <t>Foodwaste</t>
  </si>
  <si>
    <t>https://www.unep.org/resources/report/unep-food-waste-index-report-2021</t>
  </si>
  <si>
    <t>8-10% Greenhouse Gas</t>
  </si>
  <si>
    <t>UNEP Food Waste Index Report 2021</t>
  </si>
  <si>
    <t>Menschen</t>
  </si>
  <si>
    <t xml:space="preserve">Mrd. </t>
  </si>
  <si>
    <t>9,7 Mrd.</t>
  </si>
  <si>
    <t>CO2 Gesamt</t>
  </si>
  <si>
    <t>CO2-Ausstoß weltweit | Statista</t>
  </si>
  <si>
    <t xml:space="preserve">Quelle </t>
  </si>
  <si>
    <t>CO2 Tierproduktion</t>
  </si>
  <si>
    <t>Mrd. Tonnen Co2</t>
  </si>
  <si>
    <t>CO2 Foodwaste</t>
  </si>
  <si>
    <t xml:space="preserve">Mrd. Tonnen Footwaste </t>
  </si>
  <si>
    <t>3,6 Gigatonnen co2</t>
  </si>
  <si>
    <t>https://www.dw.com/de/klimaschutz-durch-weniger-lebensmittel-in-der-m%C3%BClltonne/a-48371181</t>
  </si>
  <si>
    <t xml:space="preserve">Foodwaste </t>
  </si>
  <si>
    <t>Tonnen</t>
  </si>
  <si>
    <t xml:space="preserve">Tonnen </t>
  </si>
  <si>
    <t xml:space="preserve">TierFleisch Global </t>
  </si>
  <si>
    <t xml:space="preserve">Sojabohnen </t>
  </si>
  <si>
    <t xml:space="preserve">Millionen Tonnen </t>
  </si>
  <si>
    <t>Soja für Tierfutter</t>
  </si>
  <si>
    <t>https://de.statista.com/statistik/daten/studie/218940/umfrage/produktionsmenge-von-sojabohnen-weltweit/</t>
  </si>
  <si>
    <t>Globale Tierporduktion</t>
  </si>
  <si>
    <t>kg/Kopf</t>
  </si>
  <si>
    <t xml:space="preserve">Rind </t>
  </si>
  <si>
    <t>Geflügel global</t>
  </si>
  <si>
    <t>Schwein global</t>
  </si>
  <si>
    <t xml:space="preserve">Rind global </t>
  </si>
  <si>
    <t>Andere global</t>
  </si>
  <si>
    <t>DE Tierporduktion</t>
  </si>
  <si>
    <t>Geflügel DE</t>
  </si>
  <si>
    <t>Schwein DE</t>
  </si>
  <si>
    <t>Rind De</t>
  </si>
  <si>
    <t>Andere DE</t>
  </si>
  <si>
    <t>Quelle: FAO ("Food balances"/"Food Balances (2010-)")</t>
  </si>
  <si>
    <t>Mrd. kg = Mio Tonnen</t>
  </si>
  <si>
    <t xml:space="preserve">Inskten </t>
  </si>
  <si>
    <t xml:space="preserve">Anteil essbarer an Tier </t>
  </si>
  <si>
    <t xml:space="preserve">Insekten </t>
  </si>
  <si>
    <t xml:space="preserve">Huhn </t>
  </si>
  <si>
    <t>Schwein</t>
  </si>
  <si>
    <t>co2 kg pro kg fleisch</t>
  </si>
  <si>
    <t xml:space="preserve">Co2 Produktion pro kg </t>
  </si>
  <si>
    <t>co2 kg pro kg gewicht</t>
  </si>
  <si>
    <t>https://www.veganblatt.com/umweltbelastende-nahrungsmittel</t>
  </si>
  <si>
    <t>https://www.mengede-intakt.de/2015/01/06/insekten-als-zukunftsnahrung/</t>
  </si>
  <si>
    <t>Co2  Fleisch</t>
  </si>
  <si>
    <t xml:space="preserve">Mio Tonnen CO2 </t>
  </si>
  <si>
    <t>nutzbar</t>
  </si>
  <si>
    <t>Mio Tonnen CO2 nutzbar</t>
  </si>
  <si>
    <t xml:space="preserve">Zusammenfassung: </t>
  </si>
  <si>
    <t>2050 ohne Insekten</t>
  </si>
  <si>
    <t>2050 Mit Insekten</t>
  </si>
  <si>
    <t>(2,6 Rind ; 0, schwein, 0,3 Huhn)</t>
  </si>
  <si>
    <t>davon Fleischproduktion in Mrd. Tonnen CO2eq</t>
  </si>
  <si>
    <t>https://today.yougov.com/topics/international/articles-reports/2021/11/05/one-five-americans-say-theyre-willing-eat-insects</t>
  </si>
  <si>
    <t>(Annahme 30% Ersatz durch Insekten)</t>
  </si>
  <si>
    <t xml:space="preserve">Für 2050 mit Insekten (30 % weniger fleisch bei anderen tieren + insekten 30% Mehr) </t>
  </si>
  <si>
    <t>Für 2050 ohne Insekten bei Fleischproduktion von 419 Mio. Tonnen</t>
  </si>
  <si>
    <t>Für 2020 bei Fleischproduktion von 345,6 mio Tonnen</t>
  </si>
  <si>
    <t xml:space="preserve">Foodwaste Mio. Tonnen </t>
  </si>
  <si>
    <r>
      <t xml:space="preserve">GHG </t>
    </r>
    <r>
      <rPr>
        <b/>
        <sz val="11"/>
        <color theme="1"/>
        <rFont val="Calibri"/>
        <family val="2"/>
        <scheme val="minor"/>
      </rPr>
      <t>Fleisch</t>
    </r>
    <r>
      <rPr>
        <sz val="11"/>
        <color theme="1"/>
        <rFont val="Calibri"/>
        <family val="2"/>
        <scheme val="minor"/>
      </rPr>
      <t xml:space="preserve"> Mrd. Tonnen  CO2e/Jahr</t>
    </r>
  </si>
  <si>
    <t xml:space="preserve">GHG Soja </t>
  </si>
  <si>
    <t xml:space="preserve">Für 2050 mit Insekten (25 % weniger fleisch bei anderen tieren + insekten 25% Mehr) </t>
  </si>
  <si>
    <t xml:space="preserve">Insekten global 209 Mio. Tonnen </t>
  </si>
  <si>
    <t xml:space="preserve">Insekten global 104,75 Mio. Tonnen </t>
  </si>
  <si>
    <t xml:space="preserve">Insekten global 125 Mio. Tonnen </t>
  </si>
  <si>
    <t xml:space="preserve">Für 2050 mit Insekten (50 % weniger fleisch bei anderen tieren + insekten 50% Mehr) </t>
  </si>
  <si>
    <t>Insekten global 419 Mio Tonnen (100 %)</t>
  </si>
  <si>
    <t>Insekten 2 kg Futter in 1 kg Insektenmasse umwandeln,</t>
  </si>
  <si>
    <t>Abbildung 3: Why eat insects? FAO 2013.</t>
  </si>
  <si>
    <t>wohingegen Rinder 8 kg Futter benötigen</t>
  </si>
  <si>
    <t xml:space="preserve">umwandlungsrate Insekten 1:2 </t>
  </si>
  <si>
    <t xml:space="preserve">Umwandlungsrate Hühner 1:3 </t>
  </si>
  <si>
    <t>Umwandlungsrate Schweine 1:5</t>
  </si>
  <si>
    <t>Umwandlungsrate Rinder 1:10</t>
  </si>
  <si>
    <t xml:space="preserve">Insekten mio Tonnen </t>
  </si>
  <si>
    <t xml:space="preserve">Anteil an Fleisch global </t>
  </si>
  <si>
    <t>Foodwaste benötigt in Mio Tonnen</t>
  </si>
  <si>
    <t xml:space="preserve">1 Graph </t>
  </si>
  <si>
    <t xml:space="preserve">2 Graph </t>
  </si>
  <si>
    <t xml:space="preserve">gestrichelt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</si>
</sst>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3" fillId="0" borderId="0" xfId="0" applyFont="1" applyAlignment="1">
      <alignment vertical="center"/>
    </xf>
    <xf numFmtId="0" fontId="5" fillId="0" borderId="0" xfId="0" applyFont="1"/>
    <xf numFmtId="9" fontId="0" fillId="0" borderId="0" xfId="0" applyNumberFormat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9" fontId="0" fillId="4" borderId="0" xfId="0" applyNumberFormat="1" applyFill="1"/>
    <xf numFmtId="0" fontId="0" fillId="4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ourworldindata.org/emissions-by-sector" TargetMode="External"/><Relationship Id="rId7" Type="http://schemas.openxmlformats.org/officeDocument/2006/relationships/hyperlink" Target="https://today.yougov.com/topics/international/articles-reports/2021/11/05/one-five-americans-say-theyre-willing-eat-insects" TargetMode="External"/><Relationship Id="rId2" Type="http://schemas.openxmlformats.org/officeDocument/2006/relationships/hyperlink" Target="https://de.statista.com/statistik/daten/studie/37187/umfrage/der-weltweite-co2-ausstoss-seit-1751/" TargetMode="External"/><Relationship Id="rId1" Type="http://schemas.openxmlformats.org/officeDocument/2006/relationships/hyperlink" Target="https://www.unep.org/resources/report/unep-food-waste-index-report-2021" TargetMode="External"/><Relationship Id="rId6" Type="http://schemas.openxmlformats.org/officeDocument/2006/relationships/hyperlink" Target="https://ourworldindata.org/emissions-by-sector" TargetMode="External"/><Relationship Id="rId5" Type="http://schemas.openxmlformats.org/officeDocument/2006/relationships/hyperlink" Target="https://www.fao.org/faostat/en/" TargetMode="External"/><Relationship Id="rId4" Type="http://schemas.openxmlformats.org/officeDocument/2006/relationships/hyperlink" Target="https://www.fao.org/faostat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56F9-23A2-4DFA-A530-9A8A0A088F38}">
  <dimension ref="C4:G32"/>
  <sheetViews>
    <sheetView tabSelected="1" zoomScale="85" zoomScaleNormal="85" workbookViewId="0">
      <selection activeCell="B15" sqref="B15"/>
    </sheetView>
  </sheetViews>
  <sheetFormatPr baseColWidth="10" defaultRowHeight="14.4" x14ac:dyDescent="0.3"/>
  <cols>
    <col min="3" max="3" width="19.88671875" customWidth="1"/>
    <col min="4" max="4" width="23.44140625" customWidth="1"/>
    <col min="5" max="5" width="23.109375" customWidth="1"/>
    <col min="6" max="6" width="33.6640625" customWidth="1"/>
    <col min="7" max="7" width="45.33203125" customWidth="1"/>
  </cols>
  <sheetData>
    <row r="4" spans="3:7" x14ac:dyDescent="0.3">
      <c r="C4" s="5"/>
      <c r="D4" s="5" t="s">
        <v>0</v>
      </c>
      <c r="E4" s="5" t="s">
        <v>67</v>
      </c>
      <c r="F4" s="5" t="s">
        <v>68</v>
      </c>
      <c r="G4" s="5" t="s">
        <v>69</v>
      </c>
    </row>
    <row r="5" spans="3:7" x14ac:dyDescent="0.3">
      <c r="C5" s="5">
        <v>2020</v>
      </c>
      <c r="D5" s="5">
        <v>8</v>
      </c>
      <c r="E5" s="5">
        <v>880</v>
      </c>
      <c r="F5" s="5">
        <v>3.8</v>
      </c>
      <c r="G5" s="5"/>
    </row>
    <row r="6" spans="3:7" x14ac:dyDescent="0.3">
      <c r="C6" s="5" t="s">
        <v>58</v>
      </c>
      <c r="D6" s="5">
        <v>9.6999999999999993</v>
      </c>
      <c r="E6" s="5">
        <v>1498</v>
      </c>
      <c r="F6" s="5">
        <f>F5/D5*D6</f>
        <v>4.607499999999999</v>
      </c>
      <c r="G6" s="5"/>
    </row>
    <row r="7" spans="3:7" x14ac:dyDescent="0.3">
      <c r="C7" s="5" t="s">
        <v>59</v>
      </c>
      <c r="D7" s="5">
        <v>9.6999999999999993</v>
      </c>
      <c r="E7" s="5">
        <f>1498-208</f>
        <v>1290</v>
      </c>
      <c r="F7" s="5">
        <v>3.536</v>
      </c>
      <c r="G7" s="5"/>
    </row>
    <row r="8" spans="3:7" x14ac:dyDescent="0.3">
      <c r="C8" s="5"/>
      <c r="D8" s="5"/>
      <c r="E8" s="5"/>
      <c r="F8" s="5"/>
      <c r="G8" s="5"/>
    </row>
    <row r="15" spans="3:7" x14ac:dyDescent="0.3">
      <c r="E15" t="s">
        <v>83</v>
      </c>
      <c r="F15" t="s">
        <v>84</v>
      </c>
      <c r="G15" t="s">
        <v>85</v>
      </c>
    </row>
    <row r="16" spans="3:7" x14ac:dyDescent="0.3">
      <c r="E16">
        <v>125</v>
      </c>
      <c r="F16" s="4">
        <v>0.3</v>
      </c>
      <c r="G16">
        <v>250</v>
      </c>
    </row>
    <row r="17" spans="3:7" x14ac:dyDescent="0.3">
      <c r="E17" s="7">
        <v>104</v>
      </c>
      <c r="F17" s="8">
        <v>0.25</v>
      </c>
      <c r="G17" s="7">
        <v>208</v>
      </c>
    </row>
    <row r="18" spans="3:7" x14ac:dyDescent="0.3">
      <c r="E18">
        <v>209</v>
      </c>
      <c r="F18" s="4">
        <v>0.5</v>
      </c>
      <c r="G18">
        <v>418</v>
      </c>
    </row>
    <row r="21" spans="3:7" x14ac:dyDescent="0.3">
      <c r="C21" t="s">
        <v>86</v>
      </c>
    </row>
    <row r="22" spans="3:7" x14ac:dyDescent="0.3">
      <c r="C22" s="5"/>
      <c r="D22" s="5" t="s">
        <v>0</v>
      </c>
      <c r="E22" s="5" t="s">
        <v>67</v>
      </c>
      <c r="F22" s="5" t="s">
        <v>68</v>
      </c>
    </row>
    <row r="23" spans="3:7" x14ac:dyDescent="0.3">
      <c r="C23" s="5">
        <v>2020</v>
      </c>
      <c r="D23" s="5">
        <v>8</v>
      </c>
      <c r="E23" s="5">
        <v>880</v>
      </c>
      <c r="F23" s="5">
        <v>3.8</v>
      </c>
    </row>
    <row r="24" spans="3:7" x14ac:dyDescent="0.3">
      <c r="C24" s="5" t="s">
        <v>58</v>
      </c>
      <c r="D24" s="5">
        <v>9.6999999999999993</v>
      </c>
      <c r="E24" s="5">
        <v>1498</v>
      </c>
      <c r="F24" s="5">
        <f>F23/D23*D24</f>
        <v>4.607499999999999</v>
      </c>
    </row>
    <row r="27" spans="3:7" x14ac:dyDescent="0.3">
      <c r="C27" t="s">
        <v>87</v>
      </c>
    </row>
    <row r="29" spans="3:7" x14ac:dyDescent="0.3">
      <c r="C29" s="5"/>
      <c r="E29" s="5" t="s">
        <v>67</v>
      </c>
      <c r="F29" s="5" t="s">
        <v>68</v>
      </c>
    </row>
    <row r="30" spans="3:7" x14ac:dyDescent="0.3">
      <c r="C30" s="5">
        <v>2020</v>
      </c>
      <c r="E30" s="5">
        <v>880</v>
      </c>
      <c r="F30" s="5">
        <v>3.8</v>
      </c>
    </row>
    <row r="31" spans="3:7" x14ac:dyDescent="0.3">
      <c r="C31" s="5" t="s">
        <v>58</v>
      </c>
      <c r="E31" s="5">
        <v>1498</v>
      </c>
      <c r="F31" s="5">
        <v>4.6074999999999999</v>
      </c>
    </row>
    <row r="32" spans="3:7" x14ac:dyDescent="0.3">
      <c r="C32" s="5" t="s">
        <v>59</v>
      </c>
      <c r="E32" s="5">
        <f>1498-208</f>
        <v>1290</v>
      </c>
      <c r="F32" s="5">
        <v>3.536</v>
      </c>
      <c r="G32" t="s">
        <v>88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0140-DCBE-4B78-ADDD-C726F6A4980F}">
  <dimension ref="C1:I117"/>
  <sheetViews>
    <sheetView topLeftCell="C61" workbookViewId="0">
      <selection activeCell="F90" sqref="F90"/>
    </sheetView>
  </sheetViews>
  <sheetFormatPr baseColWidth="10" defaultRowHeight="14.4" x14ac:dyDescent="0.3"/>
  <cols>
    <col min="3" max="3" width="27.88671875" customWidth="1"/>
    <col min="4" max="4" width="23.5546875" customWidth="1"/>
    <col min="5" max="5" width="38.21875" customWidth="1"/>
    <col min="6" max="6" width="23" customWidth="1"/>
    <col min="7" max="7" width="42.5546875" customWidth="1"/>
    <col min="8" max="8" width="23.44140625" customWidth="1"/>
    <col min="9" max="9" width="20.21875" customWidth="1"/>
  </cols>
  <sheetData>
    <row r="1" spans="3:9" x14ac:dyDescent="0.3">
      <c r="C1" t="s">
        <v>57</v>
      </c>
    </row>
    <row r="4" spans="3:9" x14ac:dyDescent="0.3">
      <c r="C4" s="5"/>
      <c r="D4" s="5"/>
      <c r="E4" s="5"/>
      <c r="F4" s="5"/>
      <c r="G4" s="5"/>
    </row>
    <row r="5" spans="3:9" x14ac:dyDescent="0.3">
      <c r="C5" s="5"/>
      <c r="D5" s="5" t="s">
        <v>0</v>
      </c>
      <c r="E5" s="5" t="s">
        <v>1</v>
      </c>
      <c r="F5" s="5" t="s">
        <v>3</v>
      </c>
      <c r="G5" s="5" t="s">
        <v>61</v>
      </c>
      <c r="H5" t="s">
        <v>4</v>
      </c>
      <c r="I5" t="s">
        <v>5</v>
      </c>
    </row>
    <row r="6" spans="3:9" x14ac:dyDescent="0.3">
      <c r="C6" s="5">
        <v>2020</v>
      </c>
      <c r="D6" s="5">
        <v>8</v>
      </c>
      <c r="E6" s="5">
        <v>880</v>
      </c>
      <c r="F6" s="5">
        <v>49.4</v>
      </c>
      <c r="G6" s="5">
        <v>3.8</v>
      </c>
      <c r="H6">
        <f>49.4 *0.058</f>
        <v>2.8652000000000002</v>
      </c>
      <c r="I6" t="s">
        <v>7</v>
      </c>
    </row>
    <row r="7" spans="3:9" x14ac:dyDescent="0.3">
      <c r="C7" s="5"/>
      <c r="D7" s="5"/>
      <c r="E7" s="5"/>
      <c r="F7" s="5"/>
      <c r="G7" s="5" t="s">
        <v>60</v>
      </c>
    </row>
    <row r="8" spans="3:9" x14ac:dyDescent="0.3">
      <c r="C8" s="5"/>
      <c r="D8" s="5"/>
      <c r="E8" s="5"/>
      <c r="F8" s="5"/>
      <c r="G8" s="5"/>
    </row>
    <row r="9" spans="3:9" x14ac:dyDescent="0.3">
      <c r="C9" s="5" t="s">
        <v>58</v>
      </c>
      <c r="D9" s="5">
        <v>9.6999999999999993</v>
      </c>
      <c r="E9" s="5">
        <v>1498</v>
      </c>
      <c r="F9" s="5"/>
      <c r="G9" s="5">
        <f>3.8/D6*D9</f>
        <v>4.607499999999999</v>
      </c>
    </row>
    <row r="10" spans="3:9" x14ac:dyDescent="0.3">
      <c r="C10" s="5"/>
      <c r="D10" s="5"/>
      <c r="E10" s="5"/>
      <c r="F10" s="5"/>
      <c r="G10" s="5"/>
    </row>
    <row r="11" spans="3:9" x14ac:dyDescent="0.3">
      <c r="C11" s="5" t="s">
        <v>59</v>
      </c>
      <c r="D11" s="5">
        <v>9.6999999999999993</v>
      </c>
      <c r="E11" s="5">
        <v>1498</v>
      </c>
      <c r="F11" s="5"/>
      <c r="G11" s="5">
        <v>3.3050000000000002</v>
      </c>
    </row>
    <row r="12" spans="3:9" x14ac:dyDescent="0.3">
      <c r="C12" s="5"/>
      <c r="D12" s="5"/>
      <c r="E12" s="5"/>
      <c r="F12" s="5"/>
      <c r="G12" s="5" t="s">
        <v>63</v>
      </c>
    </row>
    <row r="13" spans="3:9" x14ac:dyDescent="0.3">
      <c r="G13" s="1" t="s">
        <v>62</v>
      </c>
    </row>
    <row r="15" spans="3:9" x14ac:dyDescent="0.3">
      <c r="F15" s="1" t="s">
        <v>2</v>
      </c>
      <c r="I15" s="1" t="s">
        <v>6</v>
      </c>
    </row>
    <row r="16" spans="3:9" x14ac:dyDescent="0.3">
      <c r="I16" s="2" t="s">
        <v>8</v>
      </c>
    </row>
    <row r="19" spans="3:9" x14ac:dyDescent="0.3">
      <c r="D19">
        <v>2020</v>
      </c>
      <c r="G19">
        <v>2050</v>
      </c>
    </row>
    <row r="21" spans="3:9" x14ac:dyDescent="0.3">
      <c r="C21" t="s">
        <v>9</v>
      </c>
      <c r="D21">
        <v>8</v>
      </c>
      <c r="E21" t="s">
        <v>10</v>
      </c>
      <c r="G21" t="s">
        <v>11</v>
      </c>
    </row>
    <row r="22" spans="3:9" x14ac:dyDescent="0.3">
      <c r="C22" t="s">
        <v>12</v>
      </c>
      <c r="D22">
        <v>37</v>
      </c>
      <c r="E22" t="s">
        <v>16</v>
      </c>
      <c r="H22" t="s">
        <v>14</v>
      </c>
      <c r="I22" s="1" t="s">
        <v>13</v>
      </c>
    </row>
    <row r="23" spans="3:9" x14ac:dyDescent="0.3">
      <c r="D23">
        <v>49.6</v>
      </c>
      <c r="E23" t="s">
        <v>16</v>
      </c>
      <c r="H23" t="s">
        <v>14</v>
      </c>
      <c r="I23" s="1" t="s">
        <v>2</v>
      </c>
    </row>
    <row r="24" spans="3:9" x14ac:dyDescent="0.3">
      <c r="C24" t="s">
        <v>15</v>
      </c>
      <c r="D24">
        <f>D23*0.058</f>
        <v>2.8768000000000002</v>
      </c>
      <c r="E24" t="s">
        <v>16</v>
      </c>
    </row>
    <row r="25" spans="3:9" x14ac:dyDescent="0.3">
      <c r="C25" t="s">
        <v>17</v>
      </c>
    </row>
    <row r="28" spans="3:9" x14ac:dyDescent="0.3">
      <c r="C28" t="s">
        <v>21</v>
      </c>
      <c r="D28">
        <v>1.3</v>
      </c>
      <c r="E28" t="s">
        <v>18</v>
      </c>
      <c r="F28" t="s">
        <v>19</v>
      </c>
      <c r="H28" t="s">
        <v>14</v>
      </c>
      <c r="I28" t="s">
        <v>20</v>
      </c>
    </row>
    <row r="29" spans="3:9" x14ac:dyDescent="0.3">
      <c r="C29" t="s">
        <v>24</v>
      </c>
      <c r="D29">
        <v>229</v>
      </c>
      <c r="E29" s="3" t="s">
        <v>22</v>
      </c>
      <c r="F29">
        <v>465</v>
      </c>
      <c r="G29" t="s">
        <v>23</v>
      </c>
    </row>
    <row r="31" spans="3:9" x14ac:dyDescent="0.3">
      <c r="C31" t="s">
        <v>25</v>
      </c>
      <c r="D31">
        <v>368</v>
      </c>
      <c r="E31" t="s">
        <v>26</v>
      </c>
    </row>
    <row r="32" spans="3:9" x14ac:dyDescent="0.3">
      <c r="C32" t="s">
        <v>27</v>
      </c>
      <c r="D32">
        <f>D31*0.77</f>
        <v>283.36</v>
      </c>
      <c r="E32" t="s">
        <v>26</v>
      </c>
      <c r="I32" t="s">
        <v>28</v>
      </c>
    </row>
    <row r="34" spans="3:9" x14ac:dyDescent="0.3">
      <c r="C34" t="s">
        <v>29</v>
      </c>
      <c r="D34">
        <v>43.2</v>
      </c>
      <c r="E34" t="s">
        <v>30</v>
      </c>
      <c r="I34" s="1" t="s">
        <v>41</v>
      </c>
    </row>
    <row r="35" spans="3:9" x14ac:dyDescent="0.3">
      <c r="C35" t="s">
        <v>32</v>
      </c>
      <c r="D35">
        <v>15.9</v>
      </c>
      <c r="E35" t="s">
        <v>30</v>
      </c>
    </row>
    <row r="36" spans="3:9" x14ac:dyDescent="0.3">
      <c r="C36" t="s">
        <v>33</v>
      </c>
      <c r="D36">
        <v>15.6</v>
      </c>
      <c r="E36" t="s">
        <v>30</v>
      </c>
    </row>
    <row r="37" spans="3:9" x14ac:dyDescent="0.3">
      <c r="C37" t="s">
        <v>34</v>
      </c>
      <c r="D37">
        <v>9</v>
      </c>
      <c r="E37" t="s">
        <v>30</v>
      </c>
    </row>
    <row r="38" spans="3:9" x14ac:dyDescent="0.3">
      <c r="C38" t="s">
        <v>35</v>
      </c>
      <c r="D38">
        <v>2.7</v>
      </c>
      <c r="E38" t="s">
        <v>30</v>
      </c>
    </row>
    <row r="40" spans="3:9" x14ac:dyDescent="0.3">
      <c r="C40" t="s">
        <v>29</v>
      </c>
      <c r="D40">
        <f>D34*D21</f>
        <v>345.6</v>
      </c>
      <c r="E40" t="s">
        <v>42</v>
      </c>
      <c r="F40">
        <f>345.6 /8*9.7</f>
        <v>419.04</v>
      </c>
      <c r="I40" s="1" t="s">
        <v>41</v>
      </c>
    </row>
    <row r="41" spans="3:9" x14ac:dyDescent="0.3">
      <c r="C41" t="s">
        <v>32</v>
      </c>
      <c r="D41">
        <f>D35*D21</f>
        <v>127.2</v>
      </c>
      <c r="E41" t="s">
        <v>42</v>
      </c>
    </row>
    <row r="42" spans="3:9" x14ac:dyDescent="0.3">
      <c r="C42" t="s">
        <v>33</v>
      </c>
      <c r="D42">
        <f>D36*D21</f>
        <v>124.8</v>
      </c>
      <c r="E42" t="s">
        <v>42</v>
      </c>
    </row>
    <row r="43" spans="3:9" x14ac:dyDescent="0.3">
      <c r="C43" t="s">
        <v>34</v>
      </c>
      <c r="D43">
        <f>D37*D21</f>
        <v>72</v>
      </c>
      <c r="E43" t="s">
        <v>42</v>
      </c>
    </row>
    <row r="44" spans="3:9" x14ac:dyDescent="0.3">
      <c r="C44" t="s">
        <v>35</v>
      </c>
      <c r="D44">
        <f>D38*D21</f>
        <v>21.6</v>
      </c>
      <c r="E44" t="s">
        <v>42</v>
      </c>
    </row>
    <row r="46" spans="3:9" x14ac:dyDescent="0.3">
      <c r="C46" t="s">
        <v>49</v>
      </c>
      <c r="F46" t="s">
        <v>55</v>
      </c>
    </row>
    <row r="47" spans="3:9" x14ac:dyDescent="0.3">
      <c r="C47" t="s">
        <v>32</v>
      </c>
      <c r="D47">
        <v>1.1000000000000001</v>
      </c>
      <c r="E47" s="4" t="s">
        <v>50</v>
      </c>
      <c r="F47">
        <f>D47/D55</f>
        <v>2</v>
      </c>
      <c r="G47" s="4" t="s">
        <v>48</v>
      </c>
      <c r="I47" t="s">
        <v>51</v>
      </c>
    </row>
    <row r="48" spans="3:9" x14ac:dyDescent="0.3">
      <c r="C48" t="s">
        <v>33</v>
      </c>
      <c r="D48">
        <v>3.8</v>
      </c>
      <c r="E48" s="4" t="s">
        <v>50</v>
      </c>
      <c r="F48">
        <f>D48/D56</f>
        <v>6.9090909090909083</v>
      </c>
      <c r="G48" s="4" t="s">
        <v>48</v>
      </c>
    </row>
    <row r="49" spans="3:9" x14ac:dyDescent="0.3">
      <c r="C49" t="s">
        <v>34</v>
      </c>
      <c r="D49">
        <f>14.8</f>
        <v>14.8</v>
      </c>
      <c r="E49" s="4" t="s">
        <v>50</v>
      </c>
      <c r="F49">
        <f>D49/D57</f>
        <v>37</v>
      </c>
      <c r="G49" s="4" t="s">
        <v>48</v>
      </c>
    </row>
    <row r="50" spans="3:9" x14ac:dyDescent="0.3">
      <c r="C50" t="s">
        <v>35</v>
      </c>
      <c r="E50" s="4" t="s">
        <v>50</v>
      </c>
      <c r="G50" s="4" t="s">
        <v>48</v>
      </c>
    </row>
    <row r="51" spans="3:9" x14ac:dyDescent="0.3">
      <c r="C51" t="s">
        <v>43</v>
      </c>
      <c r="D51">
        <f xml:space="preserve"> 0.15</f>
        <v>0.15</v>
      </c>
      <c r="E51" s="4" t="s">
        <v>50</v>
      </c>
      <c r="F51">
        <f>D51/0.8</f>
        <v>0.18749999999999997</v>
      </c>
      <c r="G51" s="4" t="s">
        <v>48</v>
      </c>
    </row>
    <row r="53" spans="3:9" x14ac:dyDescent="0.3">
      <c r="C53" t="s">
        <v>44</v>
      </c>
    </row>
    <row r="54" spans="3:9" x14ac:dyDescent="0.3">
      <c r="C54" t="s">
        <v>45</v>
      </c>
      <c r="D54" s="4">
        <v>0.8</v>
      </c>
    </row>
    <row r="55" spans="3:9" x14ac:dyDescent="0.3">
      <c r="C55" t="s">
        <v>46</v>
      </c>
      <c r="D55" s="4">
        <v>0.55000000000000004</v>
      </c>
    </row>
    <row r="56" spans="3:9" x14ac:dyDescent="0.3">
      <c r="C56" t="s">
        <v>47</v>
      </c>
      <c r="D56" s="4">
        <v>0.55000000000000004</v>
      </c>
    </row>
    <row r="57" spans="3:9" x14ac:dyDescent="0.3">
      <c r="C57" t="s">
        <v>31</v>
      </c>
      <c r="D57" s="4">
        <v>0.4</v>
      </c>
    </row>
    <row r="58" spans="3:9" x14ac:dyDescent="0.3">
      <c r="F58" s="9" t="s">
        <v>66</v>
      </c>
      <c r="G58" s="9"/>
    </row>
    <row r="59" spans="3:9" x14ac:dyDescent="0.3">
      <c r="C59" t="s">
        <v>53</v>
      </c>
      <c r="D59">
        <f>SUM(D60:D63)</f>
        <v>1722.9600000000003</v>
      </c>
      <c r="E59" t="s">
        <v>54</v>
      </c>
      <c r="F59" s="9">
        <f>SUM(F60:F63)</f>
        <v>3867.0545454545454</v>
      </c>
      <c r="G59" s="9" t="s">
        <v>56</v>
      </c>
    </row>
    <row r="60" spans="3:9" x14ac:dyDescent="0.3">
      <c r="C60" t="s">
        <v>32</v>
      </c>
      <c r="D60">
        <f>D41*D47</f>
        <v>139.92000000000002</v>
      </c>
      <c r="E60" t="s">
        <v>54</v>
      </c>
      <c r="F60" s="9">
        <f>D41*F47</f>
        <v>254.4</v>
      </c>
      <c r="G60" s="9" t="s">
        <v>56</v>
      </c>
      <c r="H60">
        <f>F60/F59</f>
        <v>6.5786504175129767E-2</v>
      </c>
    </row>
    <row r="61" spans="3:9" x14ac:dyDescent="0.3">
      <c r="C61" t="s">
        <v>33</v>
      </c>
      <c r="D61">
        <f>D42*D48</f>
        <v>474.23999999999995</v>
      </c>
      <c r="E61" t="s">
        <v>54</v>
      </c>
      <c r="F61" s="9">
        <f>D42*F48</f>
        <v>862.25454545454534</v>
      </c>
      <c r="G61" s="9" t="s">
        <v>56</v>
      </c>
      <c r="H61">
        <f>F61/F59</f>
        <v>0.22297449785601442</v>
      </c>
    </row>
    <row r="62" spans="3:9" x14ac:dyDescent="0.3">
      <c r="C62" t="s">
        <v>34</v>
      </c>
      <c r="D62">
        <f>D43*D49</f>
        <v>1065.6000000000001</v>
      </c>
      <c r="E62" t="s">
        <v>54</v>
      </c>
      <c r="F62" s="9">
        <f>D43*F49</f>
        <v>2664</v>
      </c>
      <c r="G62" s="9" t="s">
        <v>56</v>
      </c>
      <c r="H62">
        <f>F62/F59</f>
        <v>0.68889641164522686</v>
      </c>
      <c r="I62" t="s">
        <v>52</v>
      </c>
    </row>
    <row r="63" spans="3:9" x14ac:dyDescent="0.3">
      <c r="C63" t="s">
        <v>35</v>
      </c>
      <c r="D63">
        <f>D44*2</f>
        <v>43.2</v>
      </c>
      <c r="E63" t="s">
        <v>54</v>
      </c>
      <c r="F63" s="9">
        <f>D44*4</f>
        <v>86.4</v>
      </c>
      <c r="G63" s="9" t="s">
        <v>56</v>
      </c>
      <c r="H63">
        <f>F63/F59</f>
        <v>2.2342586323628979E-2</v>
      </c>
    </row>
    <row r="67" spans="3:9" x14ac:dyDescent="0.3">
      <c r="F67" t="s">
        <v>65</v>
      </c>
    </row>
    <row r="68" spans="3:9" x14ac:dyDescent="0.3">
      <c r="C68" t="s">
        <v>36</v>
      </c>
      <c r="D68">
        <v>18</v>
      </c>
      <c r="E68" t="s">
        <v>30</v>
      </c>
      <c r="F68">
        <f>F59/8*9.7</f>
        <v>4688.8036363636356</v>
      </c>
      <c r="G68" t="s">
        <v>56</v>
      </c>
      <c r="H68" t="s">
        <v>41</v>
      </c>
      <c r="I68" t="s">
        <v>41</v>
      </c>
    </row>
    <row r="69" spans="3:9" x14ac:dyDescent="0.3">
      <c r="C69" t="s">
        <v>37</v>
      </c>
      <c r="D69">
        <v>42.2</v>
      </c>
      <c r="E69" t="s">
        <v>30</v>
      </c>
      <c r="F69">
        <f>F60/8*9.7</f>
        <v>308.45999999999998</v>
      </c>
      <c r="G69" t="s">
        <v>56</v>
      </c>
    </row>
    <row r="70" spans="3:9" x14ac:dyDescent="0.3">
      <c r="C70" t="s">
        <v>38</v>
      </c>
      <c r="D70">
        <v>14.5</v>
      </c>
      <c r="E70" t="s">
        <v>30</v>
      </c>
      <c r="F70">
        <f t="shared" ref="F69:F72" si="0">F61/8*9.7</f>
        <v>1045.4836363636362</v>
      </c>
      <c r="G70" t="s">
        <v>56</v>
      </c>
    </row>
    <row r="71" spans="3:9" x14ac:dyDescent="0.3">
      <c r="C71" t="s">
        <v>39</v>
      </c>
      <c r="D71">
        <v>1.7</v>
      </c>
      <c r="E71" t="s">
        <v>30</v>
      </c>
      <c r="F71">
        <f t="shared" si="0"/>
        <v>3230.1</v>
      </c>
      <c r="G71" t="s">
        <v>56</v>
      </c>
    </row>
    <row r="72" spans="3:9" x14ac:dyDescent="0.3">
      <c r="C72" t="s">
        <v>40</v>
      </c>
      <c r="D72">
        <v>2.7</v>
      </c>
      <c r="E72" t="s">
        <v>30</v>
      </c>
      <c r="F72">
        <f t="shared" si="0"/>
        <v>104.76</v>
      </c>
      <c r="G72" t="s">
        <v>56</v>
      </c>
    </row>
    <row r="75" spans="3:9" x14ac:dyDescent="0.3">
      <c r="F75" t="s">
        <v>64</v>
      </c>
    </row>
    <row r="76" spans="3:9" x14ac:dyDescent="0.3">
      <c r="E76" t="s">
        <v>32</v>
      </c>
      <c r="F76">
        <f>$F69*0.7</f>
        <v>215.92199999999997</v>
      </c>
      <c r="G76" t="s">
        <v>56</v>
      </c>
    </row>
    <row r="77" spans="3:9" x14ac:dyDescent="0.3">
      <c r="E77" t="s">
        <v>33</v>
      </c>
      <c r="F77">
        <f>$F70*0.7</f>
        <v>731.83854545454528</v>
      </c>
      <c r="G77" t="s">
        <v>56</v>
      </c>
    </row>
    <row r="78" spans="3:9" x14ac:dyDescent="0.3">
      <c r="E78" t="s">
        <v>34</v>
      </c>
      <c r="F78">
        <f>$F71*0.7</f>
        <v>2261.0699999999997</v>
      </c>
      <c r="G78" t="s">
        <v>56</v>
      </c>
    </row>
    <row r="79" spans="3:9" x14ac:dyDescent="0.3">
      <c r="E79" t="s">
        <v>35</v>
      </c>
      <c r="F79">
        <f>$F72*0.7</f>
        <v>73.331999999999994</v>
      </c>
      <c r="G79" t="s">
        <v>56</v>
      </c>
    </row>
    <row r="80" spans="3:9" x14ac:dyDescent="0.3">
      <c r="E80" t="s">
        <v>73</v>
      </c>
      <c r="F80">
        <f>125*$F51</f>
        <v>23.437499999999996</v>
      </c>
      <c r="G80" t="s">
        <v>56</v>
      </c>
    </row>
    <row r="81" spans="5:7" x14ac:dyDescent="0.3">
      <c r="F81" s="6">
        <f>SUM(F76:F80)</f>
        <v>3305.6000454545451</v>
      </c>
    </row>
    <row r="84" spans="5:7" x14ac:dyDescent="0.3">
      <c r="F84" t="s">
        <v>70</v>
      </c>
    </row>
    <row r="85" spans="5:7" x14ac:dyDescent="0.3">
      <c r="E85" t="s">
        <v>32</v>
      </c>
      <c r="F85">
        <f>$F69*0.75</f>
        <v>231.34499999999997</v>
      </c>
      <c r="G85" t="s">
        <v>56</v>
      </c>
    </row>
    <row r="86" spans="5:7" x14ac:dyDescent="0.3">
      <c r="E86" t="s">
        <v>33</v>
      </c>
      <c r="F86">
        <f>$F70*0.75</f>
        <v>784.11272727272717</v>
      </c>
      <c r="G86" t="s">
        <v>56</v>
      </c>
    </row>
    <row r="87" spans="5:7" x14ac:dyDescent="0.3">
      <c r="E87" t="s">
        <v>34</v>
      </c>
      <c r="F87">
        <f t="shared" ref="F86:F89" si="1">$F71*0.75</f>
        <v>2422.5749999999998</v>
      </c>
      <c r="G87" t="s">
        <v>56</v>
      </c>
    </row>
    <row r="88" spans="5:7" x14ac:dyDescent="0.3">
      <c r="E88" t="s">
        <v>35</v>
      </c>
      <c r="F88">
        <f t="shared" si="1"/>
        <v>78.570000000000007</v>
      </c>
      <c r="G88" t="s">
        <v>56</v>
      </c>
    </row>
    <row r="89" spans="5:7" x14ac:dyDescent="0.3">
      <c r="E89" t="s">
        <v>72</v>
      </c>
      <c r="F89">
        <f>104.75*F51</f>
        <v>19.640624999999996</v>
      </c>
      <c r="G89" t="s">
        <v>56</v>
      </c>
    </row>
    <row r="90" spans="5:7" x14ac:dyDescent="0.3">
      <c r="F90" s="6">
        <f>SUM(F85:F89)</f>
        <v>3536.2433522727274</v>
      </c>
    </row>
    <row r="92" spans="5:7" x14ac:dyDescent="0.3">
      <c r="F92" t="s">
        <v>74</v>
      </c>
    </row>
    <row r="93" spans="5:7" x14ac:dyDescent="0.3">
      <c r="E93" t="s">
        <v>32</v>
      </c>
      <c r="F93">
        <f>F69*0.5</f>
        <v>154.22999999999999</v>
      </c>
      <c r="G93" t="s">
        <v>56</v>
      </c>
    </row>
    <row r="94" spans="5:7" x14ac:dyDescent="0.3">
      <c r="E94" t="s">
        <v>33</v>
      </c>
      <c r="F94">
        <f t="shared" ref="F94:F96" si="2">F70*0.5</f>
        <v>522.74181818181808</v>
      </c>
      <c r="G94" t="s">
        <v>56</v>
      </c>
    </row>
    <row r="95" spans="5:7" x14ac:dyDescent="0.3">
      <c r="E95" t="s">
        <v>34</v>
      </c>
      <c r="F95">
        <f t="shared" si="2"/>
        <v>1615.05</v>
      </c>
      <c r="G95" t="s">
        <v>56</v>
      </c>
    </row>
    <row r="96" spans="5:7" x14ac:dyDescent="0.3">
      <c r="E96" t="s">
        <v>35</v>
      </c>
      <c r="F96">
        <f t="shared" si="2"/>
        <v>52.38</v>
      </c>
      <c r="G96" t="s">
        <v>56</v>
      </c>
    </row>
    <row r="97" spans="5:7" x14ac:dyDescent="0.3">
      <c r="E97" t="s">
        <v>71</v>
      </c>
      <c r="F97">
        <f>209*F51</f>
        <v>39.187499999999993</v>
      </c>
      <c r="G97" t="s">
        <v>56</v>
      </c>
    </row>
    <row r="98" spans="5:7" x14ac:dyDescent="0.3">
      <c r="F98" s="6">
        <f>SUM(F93:F97)</f>
        <v>2383.5893181818183</v>
      </c>
    </row>
    <row r="101" spans="5:7" x14ac:dyDescent="0.3">
      <c r="E101" t="s">
        <v>75</v>
      </c>
      <c r="F101" s="6">
        <f>419*F51</f>
        <v>78.562499999999986</v>
      </c>
      <c r="G101" t="s">
        <v>56</v>
      </c>
    </row>
    <row r="104" spans="5:7" x14ac:dyDescent="0.3">
      <c r="E104" s="3" t="s">
        <v>76</v>
      </c>
    </row>
    <row r="105" spans="5:7" x14ac:dyDescent="0.3">
      <c r="E105" s="3" t="s">
        <v>77</v>
      </c>
    </row>
    <row r="106" spans="5:7" x14ac:dyDescent="0.3">
      <c r="E106" s="3">
        <v>61</v>
      </c>
    </row>
    <row r="107" spans="5:7" x14ac:dyDescent="0.3">
      <c r="E107" s="3" t="s">
        <v>78</v>
      </c>
    </row>
    <row r="114" spans="5:5" x14ac:dyDescent="0.3">
      <c r="E114" t="s">
        <v>79</v>
      </c>
    </row>
    <row r="115" spans="5:5" x14ac:dyDescent="0.3">
      <c r="E115" t="s">
        <v>80</v>
      </c>
    </row>
    <row r="116" spans="5:5" x14ac:dyDescent="0.3">
      <c r="E116" t="s">
        <v>81</v>
      </c>
    </row>
    <row r="117" spans="5:5" x14ac:dyDescent="0.3">
      <c r="E117" t="s">
        <v>82</v>
      </c>
    </row>
  </sheetData>
  <phoneticPr fontId="4" type="noConversion"/>
  <hyperlinks>
    <hyperlink ref="I15" r:id="rId1" xr:uid="{6D446FE7-FE0A-4278-87BA-4387AE21328A}"/>
    <hyperlink ref="I22" r:id="rId2" location=":~:text=Der%20weltweite%20Aussto%C3%9F%20von%20Kohlenstoffdioxid%20nahm%20seit%201960,rund%20sieben%20Jahren%20in%20einem%20deutlich%20geringeren%20Ma%C3%9Fe." display="https://de.statista.com/statistik/daten/studie/37187/umfrage/der-weltweite-co2-ausstoss-seit-1751/ - :~:text=Der%20weltweite%20Aussto%C3%9F%20von%20Kohlenstoffdioxid%20nahm%20seit%201960,rund%20sieben%20Jahren%20in%20einem%20deutlich%20geringeren%20Ma%C3%9Fe." xr:uid="{A3C1A92C-7AFC-4146-B86C-921EBAADDA94}"/>
    <hyperlink ref="I23" r:id="rId3" xr:uid="{71009EDD-7333-46D6-83BC-A2F9CC3863EA}"/>
    <hyperlink ref="I34" r:id="rId4" location="data" tooltip="Externer Link Food and Agriculture Organization of the United Nations: Statistics (Öffnet neues Fenster)" display="https://www.fao.org/faostat/en/ - data" xr:uid="{D50D87D7-87A1-4D46-9BAA-1242A3E641A5}"/>
    <hyperlink ref="I40" r:id="rId5" location="data" tooltip="Externer Link Food and Agriculture Organization of the United Nations: Statistics (Öffnet neues Fenster)" display="https://www.fao.org/faostat/en/ - data" xr:uid="{69AF2A4E-798C-4716-BBD0-06357CC9C120}"/>
    <hyperlink ref="F15" r:id="rId6" xr:uid="{DEFACD93-9060-4A12-A5F2-7D49881601D2}"/>
    <hyperlink ref="G13" r:id="rId7" xr:uid="{5A76FDED-E1D5-4E9C-86D2-ED2DE0CD5BF1}"/>
  </hyperlinks>
  <pageMargins left="0.7" right="0.7" top="0.78740157499999996" bottom="0.78740157499999996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Wesentliche Daten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Liebau, Urs</dc:creator>
  <cp:lastModifiedBy>Liebau, Urs</cp:lastModifiedBy>
  <dcterms:created xsi:type="dcterms:W3CDTF">2023-06-08T12:18:03Z</dcterms:created>
  <dcterms:modified xsi:type="dcterms:W3CDTF">2023-06-09T13:12:27Z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2ff711-767d-49e4-8de8-6dc66c541869_Enabled">
    <vt:lpwstr>true</vt:lpwstr>
  </property>
  <property fmtid="{D5CDD505-2E9C-101B-9397-08002B2CF9AE}" pid="3" name="MSIP_Label_3f2ff711-767d-49e4-8de8-6dc66c541869_SetDate">
    <vt:lpwstr>2023-06-08T12:18:03Z</vt:lpwstr>
  </property>
  <property fmtid="{D5CDD505-2E9C-101B-9397-08002B2CF9AE}" pid="4" name="MSIP_Label_3f2ff711-767d-49e4-8de8-6dc66c541869_Method">
    <vt:lpwstr>Standard</vt:lpwstr>
  </property>
  <property fmtid="{D5CDD505-2E9C-101B-9397-08002B2CF9AE}" pid="5" name="MSIP_Label_3f2ff711-767d-49e4-8de8-6dc66c541869_Name">
    <vt:lpwstr>defa4170-0d19-0005-0004-bc88714345d2</vt:lpwstr>
  </property>
  <property fmtid="{D5CDD505-2E9C-101B-9397-08002B2CF9AE}" pid="6" name="MSIP_Label_3f2ff711-767d-49e4-8de8-6dc66c541869_SiteId">
    <vt:lpwstr>9a21e1ab-b7a7-4f82-8fd0-170bb7e09f92</vt:lpwstr>
  </property>
  <property fmtid="{D5CDD505-2E9C-101B-9397-08002B2CF9AE}" pid="7" name="MSIP_Label_3f2ff711-767d-49e4-8de8-6dc66c541869_ActionId">
    <vt:lpwstr>b0b97902-4b38-46dc-8d21-817bb61e462e</vt:lpwstr>
  </property>
  <property fmtid="{D5CDD505-2E9C-101B-9397-08002B2CF9AE}" pid="8" name="MSIP_Label_3f2ff711-767d-49e4-8de8-6dc66c541869_ContentBits">
    <vt:lpwstr>0</vt:lpwstr>
  </property>
</Properties>
</file>