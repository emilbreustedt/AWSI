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 name="Emissions by Sector" sheetId="2" r:id="rId5"/>
  </sheets>
</workbook>
</file>

<file path=xl/sharedStrings.xml><?xml version="1.0" encoding="utf-8"?>
<sst xmlns="http://schemas.openxmlformats.org/spreadsheetml/2006/main" uniqueCount="116">
  <si>
    <t>Technologie/Feld</t>
  </si>
  <si>
    <t>Beschreibung</t>
  </si>
  <si>
    <t>Sektor</t>
  </si>
  <si>
    <t>potentielle CO² Einsparung pro Jahr prozentual</t>
  </si>
  <si>
    <t>potentielle CO² Einsparung pro Jahr in Mt absolut</t>
  </si>
  <si>
    <t>potentielle CO² Einsparung pro Jahr in Mt absolut durchschnitt</t>
  </si>
  <si>
    <t>Quelle</t>
  </si>
  <si>
    <t>Electric Vehicles (EVs)</t>
  </si>
  <si>
    <t>Electric Vehicles (EVs): The widespread adoption of electric vehicles can significantly reduce CO2 emissions from the transportation sector. Digitalization plays a role by enabling the development of more efficient EV charging infrastructure, optimizing charging patterns, and managing the grid integration of EVs.</t>
  </si>
  <si>
    <t>Verkehr</t>
  </si>
  <si>
    <r>
      <rPr>
        <u val="single"/>
        <sz val="11"/>
        <color indexed="11"/>
        <rFont val="Calibri"/>
      </rPr>
      <t>https://www.agora-verkehrswende.de/fileadmin/Projekte/2017/Klimaschutzszenarien/Agora_Verkehrswende_Flottengrenzwerte_EN_WEB.pdf</t>
    </r>
  </si>
  <si>
    <t>Vehicle-to-Grid (V2G)</t>
  </si>
  <si>
    <t>Vehicle-to-Grid (V2G) Technology: V2G enables bidirectional energy flow between electric vehicles and the power grid. It allows EVs to serve as energy storage devices and feed electricity back to the grid during peak demand periods. This technology can help balance the grid, increase the integration of renewable energy sources, and reduce overall CO2 emissions.</t>
  </si>
  <si>
    <t>0,00006</t>
  </si>
  <si>
    <r>
      <rPr>
        <u val="single"/>
        <sz val="11"/>
        <color indexed="11"/>
        <rFont val="Calibri"/>
      </rPr>
      <t>https://www.chademo.com/economic-benefits-and-co2-saving-to-the-electricity-system-quantified-in-a-new-v2g-study-in-the-uk</t>
    </r>
  </si>
  <si>
    <t>Mobiles Arbeiten</t>
  </si>
  <si>
    <t>Abfallwirtschaft und Sonstiges</t>
  </si>
  <si>
    <t>9-11</t>
  </si>
  <si>
    <r>
      <rPr>
        <u val="single"/>
        <sz val="11"/>
        <color indexed="11"/>
        <rFont val="Calibri"/>
      </rPr>
      <t>https://www.bitkom.org/sites/main/files/2021-10/20211010_bitkom_studie_klimaeffekte_der_digitalisierung.pdf</t>
    </r>
  </si>
  <si>
    <t>Verkehrssteuerung &amp; Optimierung</t>
  </si>
  <si>
    <t>9-13</t>
  </si>
  <si>
    <t>Smart Homes</t>
  </si>
  <si>
    <t>Gebäude</t>
  </si>
  <si>
    <t>14-12</t>
  </si>
  <si>
    <t>Smart Grids</t>
  </si>
  <si>
    <t>Smart Grids: Smart grids integrate digital technologies into the electricity grid infrastructure. They enable real-time monitoring, control, and optimization of electricity generation, distribution, and consumption. By balancing supply and demand, integrating renewable energy sources, and optimizing grid operations, smart grids contribute to CO2 emissions reduction.</t>
  </si>
  <si>
    <t>Energiewirtschaft</t>
  </si>
  <si>
    <t>17-14</t>
  </si>
  <si>
    <r>
      <rPr>
        <u val="single"/>
        <sz val="11"/>
        <color indexed="11"/>
        <rFont val="Calibri"/>
      </rPr>
      <t>https://www.pnnl.gov/main/publications/external/technical_reports/PNNL-19112rev1.pdf, https://www.bitkom.org/sites/main/files/2021-10/20211010_bitkom_studie_klimaeffekte_der_digitalisierung.pdf</t>
    </r>
  </si>
  <si>
    <t>Präzisionsfütterung und Tierüberwachungssystemen</t>
  </si>
  <si>
    <t>Landwirtschaft</t>
  </si>
  <si>
    <t>2-3</t>
  </si>
  <si>
    <t>Digital Platforms for Carpooling and Ride-Sharing</t>
  </si>
  <si>
    <t>Digital Platforms for Carpooling and Ride-Sharing: Digital platforms that connect commuters and facilitate carpooling and ride-sharing can help reduce the number of vehicles on the road, resulting in reduced emissions and congestion.</t>
  </si>
  <si>
    <t>1-4</t>
  </si>
  <si>
    <t>Automatisierung in der Produktion</t>
  </si>
  <si>
    <t>Industrie</t>
  </si>
  <si>
    <t>18-31</t>
  </si>
  <si>
    <t>Digital Twins</t>
  </si>
  <si>
    <t>Digital Twins: Digital twins are virtual replicas of physical industrial assets or processes. By simulating and analyzing the performance of equipment and systems, digital twins help optimize operations, identify inefficiencies, and reduce energy consumption, resulting in CO2 emissions reduction.</t>
  </si>
  <si>
    <t>26</t>
  </si>
  <si>
    <t>Intelligente Bodenmanagementsysteme</t>
  </si>
  <si>
    <t>2-4</t>
  </si>
  <si>
    <t>Building Automation Systems (BAS)</t>
  </si>
  <si>
    <t>Building Automation Systems (BAS): BAS technologies automate and optimize various building systems, including lighting, HVAC, and security. By integrating and controlling these systems through a centralized platform, BAS can reduce energy waste, enhance occupant comfort, and lower CO2 emissions.</t>
  </si>
  <si>
    <t>3,1</t>
  </si>
  <si>
    <r>
      <rPr>
        <u val="single"/>
        <sz val="11"/>
        <color indexed="11"/>
        <rFont val="Calibri"/>
      </rPr>
      <t>https://studenttheses.uu.nl/handle/20.500.12932/21922</t>
    </r>
  </si>
  <si>
    <t>Vernetzte Gebäude</t>
  </si>
  <si>
    <t>5-7</t>
  </si>
  <si>
    <t>Effiziente Produktion EE</t>
  </si>
  <si>
    <t>Effiziente Produktion erneuerbarer Energien (EE)</t>
  </si>
  <si>
    <t>6-7</t>
  </si>
  <si>
    <t>Intelligente Logistik</t>
  </si>
  <si>
    <t>5-8</t>
  </si>
  <si>
    <t>Energy Storage and Battery Technologies: Digitalization plays a crucial role in optimizing energy storage systems and battery technologies. By monitoring and managing energy storage assets, digital technologies improve efficiency, enable grid stabilization, and facilitate the integration of intermittent renewable energy sources, thereby reducing CO2 emissions.</t>
  </si>
  <si>
    <t>Demand Response Programs: Digitalization enables demand response programs, which adjust electricity consumption based on supply and demand conditions. Through real-time communication and automated control systems, consumers can reduce electricity usage during peak demand periods, leading to lower reliance on fossil fuel-based power plants and reduced CO2 emissions.</t>
  </si>
  <si>
    <t>Virtual Power Plants (VPPs): VPPs leverage digital technologies to aggregate and manage distributed energy resources (DERs) such as rooftop solar panels, energy storage systems, and electric vehicle charging stations. By optimizing the dispatch and utilization of these resources, VPPs increase renewable energy penetration, reduce emissions, and enhance grid stability.</t>
  </si>
  <si>
    <r>
      <rPr>
        <u val="single"/>
        <sz val="11"/>
        <color indexed="11"/>
        <rFont val="Calibri"/>
      </rPr>
      <t>https://rmi.org/clean-energy-101-virtual-power-plants/</t>
    </r>
  </si>
  <si>
    <t>Energy Analytics and Predictive Maintenance: Advanced data analytics and machine learning techniques analyze vast amounts of energy data to identify energy inefficiencies, optimize operations, and predict maintenance needs. These technologies enable proactive energy management, reduce energy waste, and contribute to CO2 emissions reduction.</t>
  </si>
  <si>
    <t>Blockchain in Energy Trading: Blockchain technology can facilitate peer-to-peer energy trading and transparent energy transactions. By removing intermediaries, blockchain enables more efficient and decentralized energy markets, encouraging the use of renewable energy sources and reducing CO2 emissions.</t>
  </si>
  <si>
    <t>Grid Digitization and Automation: Grid digitization involves the deployment of sensors, communication networks, and automation technologies to modernize grid infrastructure. This enhances grid reliability, enables faster response to faults, and facilitates the integration of renewable energy sources, ultimately leading to reduced CO2 emissions.</t>
  </si>
  <si>
    <t>Energy Efficiency Monitoring and Management Systems: Digital technologies provide tools for monitoring and managing energy efficiency in buildings, industries, and power plants. By analyzing energy consumption patterns, identifying inefficiencies, and implementing energy-saving measures, these systems help reduce energy waste and CO2 emissions.</t>
  </si>
  <si>
    <t>Carbon Capture, Utilization, and Storage (CCUS): Digital technologies support the monitoring and control systems associated with CCUS technologies. These systems enable efficient capture, utilization, and storage of carbon dioxide emissions from power plants and industrial facilities, helping to mitigate climate change.</t>
  </si>
  <si>
    <t>40–80</t>
  </si>
  <si>
    <r>
      <rPr>
        <u val="single"/>
        <sz val="11"/>
        <color indexed="11"/>
        <rFont val="Calibri"/>
      </rPr>
      <t>https://www.researchgate.net/publication/350976483_Supply_chain_optimization_framework_for_CO_2_capture_utilization_and_storage_in_Germany</t>
    </r>
  </si>
  <si>
    <t>Energy Management Systems (EMS): EMS technologies enable real-time monitoring and control of energy consumption in buildings. By collecting and analyzing data on energy usage, EMS can identify energy inefficiencies, optimize energy consumption patterns, and provide insights for energy-saving measures.</t>
  </si>
  <si>
    <t>Energy-Efficient Appliances and Devices: Digitalization has facilitated the development of energy-efficient appliances and devices for households. Smart appliances, such as refrigerators, washing machines, and lighting systems, can be controlled and optimized for energy efficiency through digital interfaces and automation.</t>
  </si>
  <si>
    <t>Home Energy Monitoring Systems: These systems provide real-time feedback on energy consumption, allowing homeowners to identify energy-intensive activities and make informed decisions to reduce their energy usage. They can also integrate with renewable energy systems, enabling homeowners to maximize their use of clean energy sources.</t>
  </si>
  <si>
    <t>Demand Response (DR) Systems: DR systems enable households and buildings to adjust their electricity consumption in response to demand fluctuations or grid signals. By participating in demand response programs, consumers can reduce their reliance on fossil fuel-based power plants during peak demand periods and contribute to grid stability.</t>
  </si>
  <si>
    <r>
      <rPr>
        <u val="single"/>
        <sz val="11"/>
        <color indexed="11"/>
        <rFont val="Calibri"/>
      </rPr>
      <t>https://acris.aalto.fi/ws/portalfiles/portal/80126546/Cost_savings_and_CO2_emissions_reduction_potential_in_the_German_district_heating_system_with_demand_response.pdf</t>
    </r>
  </si>
  <si>
    <t>Energy Storage Systems: Digitalization technologies can optimize the operation and management of energy storage systems in households and buildings. These systems, such as batteries or thermal storage, store excess energy from renewable sources for later use, reducing reliance on the grid and enabling a higher penetration of renewable energy.</t>
  </si>
  <si>
    <t>Virtual Power Plants (VPP): VPPs are software platforms that aggregate and manage the energy generated by distributed energy resources (DERs) such as solar panels, wind turbines, and energy storage systems. By optimizing the deployment and utilization of DERs, VPPs can maximize the use of renewable energy and reduce CO2 emissions.</t>
  </si>
  <si>
    <t>Blockchain-based Energy Systems: Blockchain technology can enable peer-to-peer energy trading and decentralized energy systems. By eliminating intermediaries, blockchain can facilitate direct transactions between energy producers and consumers, promoting the use of renewable energy and reducing CO2 emissions.</t>
  </si>
  <si>
    <t>Industrial Internet of Things (IIoT): IIoT enables connectivity and data exchange among industrial devices, sensors, and systems. It allows real-time monitoring, control, and optimization of industrial processes, leading to energy efficiency improvements and reduced CO2 emissions.</t>
  </si>
  <si>
    <t>Energy Management Systems (EMS): EMS technologies monitor and analyze energy consumption patterns in industrial facilities. By providing insights into energy-intensive processes and equipment, EMS helps identify opportunities for energy optimization, efficiency improvements, and emissions reduction.</t>
  </si>
  <si>
    <t>Advanced Process Control (APC): APC utilizes digital control algorithms to optimize industrial processes and minimize energy waste. By continuously adjusting process parameters and ensuring optimal operating conditions, APC improves efficiency, reduces energy consumption, and lowers CO2 emissions.</t>
  </si>
  <si>
    <t>Predictive Maintenance: Predictive maintenance uses sensors, data analytics, and machine learning to monitor equipment condition and predict failures. By identifying maintenance needs proactively, it minimizes unplanned downtime, optimizes equipment performance, and reduces energy waste.</t>
  </si>
  <si>
    <t>Supply Chain Optimization: Digital technologies can optimize supply chain operations, improving logistics, reducing transportation distances, and minimizing waste. By streamlining processes and eliminating inefficiencies, supply chain optimization reduces energy consumption and associated CO2 emissions.</t>
  </si>
  <si>
    <t>Renewable Energy Integration: Digitalization facilitates the integration of renewable energy sources, such as solar and wind, into industrial processes. It enables real-time monitoring, control, and optimization of renewable energy systems, allowing industries to reduce reliance on fossil fuels and lower their CO2 emissions.</t>
  </si>
  <si>
    <t>Big Data Analytics: By analyzing large volumes of industrial data, big data analytics can identify patterns, correlations, and inefficiencies in operations. This helps optimize energy usage, identify opportunities for process improvements, and enable more sustainable practices, ultimately leading to CO2 emissions reduction.</t>
  </si>
  <si>
    <t>Carbon Footprint Monitoring and Reporting: Digital technologies enable accurate monitoring and reporting of carbon footprints in industrial processes. By providing real-time data on emissions, industries can identify hotspots, set reduction targets, and implement measures to reduce their carbon footprint.</t>
  </si>
  <si>
    <t>Circular Economy Solutions: Digitalization supports the implementation of circular economy principles, such as resource recovery, recycling, and waste reduction. By optimizing material flows, improving product design, and enabling closed-loop processes, digital technologies contribute to reducing CO2 emissions associated with resource extraction and waste generation.</t>
  </si>
  <si>
    <t>Precision Farming: Precision farming involves using technologies like Global Positioning Systems (GPS), sensors, and drones to optimize various agricultural practices. By precisely targeting inputs such as water, fertilizers, and pesticides, farmers can minimize waste, improve resource efficiency, and reduce CO2 emissions associated with excessive chemical use.</t>
  </si>
  <si>
    <t>Internet of Things (IoT) in Agriculture: IoT devices, such as sensors and actuators, can collect and transmit real-time data on soil moisture, temperature, humidity, and crop growth. This data helps farmers make informed decisions about irrigation, pest control, and nutrient management, leading to more efficient resource utilization and reduced environmental impact.</t>
  </si>
  <si>
    <t>Data Analytics and Machine Learning: Advanced data analytics and machine learning techniques can process vast amounts of agricultural data to identify patterns and optimize farming practices. By analyzing factors like weather patterns, soil conditions, and crop health, these technologies can help farmers make data-driven decisions that minimize CO2 emissions and improve productivity.</t>
  </si>
  <si>
    <t>Smart Irrigation Systems: Smart irrigation systems utilize sensors, weather data, and automation to optimize irrigation practices. By delivering water based on plant needs and weather conditions, these systems reduce water waste and energy consumption associated with pumping water, resulting in lower CO2 emissions.</t>
  </si>
  <si>
    <r>
      <rPr>
        <u val="single"/>
        <sz val="11"/>
        <color indexed="11"/>
        <rFont val="Calibri"/>
      </rPr>
      <t>https://www.hydropoint.com/blog/why-water-conservation-is-critical-to-achieving-decarbonization/#:~:text=By%20rolling%20out%20smart%20irrigation,over%2084%2C000%20gallons%20of%20gasoline.</t>
    </r>
  </si>
  <si>
    <t>Sustainable Livestock Management: Digital technologies can support sustainable livestock management by monitoring animal health, optimizing feeding regimes, and tracking livestock movements. By improving efficiency in livestock production, digitalization can reduce greenhouse gas emissions associated with feed production, enteric fermentation, and manure management.</t>
  </si>
  <si>
    <t>Vertical Farming and Controlled Environment Agriculture (CEA): Vertical farming and CEA utilize digital technologies such as artificial lighting, climate control, and automation to grow crops in indoor environments. These methods minimize land use, conserve water, and allow year-round production, reducing the carbon footprint of agriculture.</t>
  </si>
  <si>
    <t>Farm Management Software: Farm management software provides comprehensive tools for planning, record-keeping, and decision-making on the farm. By optimizing workflows, monitoring resource usage, and facilitating precision agriculture practices, these software solutions can enhance efficiency, reduce waste, and lower CO2 emissions.</t>
  </si>
  <si>
    <t>Agricultural Supply Chain Traceability: Digital technologies like blockchain can enable end-to-end traceability in the agricultural supply chain. This enhances transparency, reduces food waste, and promotes sustainable practices. By allowing consumers to make informed choices, it encourages sustainable farming methods and reduces the environmental impact of agriculture.</t>
  </si>
  <si>
    <t>Intelligent Transportation Systems (ITS): ITS involves using digital technologies to optimize transportation systems for efficiency and reduce congestion. This can include real-time traffic monitoring, adaptive traffic signal controls, and intelligent route planning to minimize fuel consumption and emissions.</t>
  </si>
  <si>
    <t>Connected Vehicles: Digital connectivity between vehicles and infrastructure can facilitate the sharing of real-time data on traffic conditions, leading to better traffic management, reduced congestion, and improved fuel efficiency.</t>
  </si>
  <si>
    <t>Autonomous Vehicles (AVs): Self-driving cars have the potential to improve traffic flow and reduce CO2 emissions through optimized driving patterns, platooning (driving vehicles closely together to reduce air resistance), and the potential for shared autonomous vehicle fleets that could reduce the overall number of vehicles on the road.</t>
  </si>
  <si>
    <t>40-60</t>
  </si>
  <si>
    <t>https://pdf.sciencedirectassets.com/278653/1-s2.0-S1877705817X00258/1-s2.0-S1877705817326073/main.pdf?X-Amz-Security-Token=IQoJb3JpZ2luX2VjEO7%2F%2F%2F%2F%2F%2F%2F%2F%2F%2FwEaCXVzLWVhc3QtMSJHMEUCIQCv9YSEhedI3W70bHS1L%2F2%2BkSz%2FP56KN2LmFNw9VjudbAIgNVMZNDKJQRuCCnS5qYajayHCO940RFwCJ%2FIhnKSy33kqswUIFxAFGgwwNTkwMDM1NDY4NjUiDMxmVPJoh%2BmOqgSyqyqQBfuwelOHOT2nD24fellhF4p%2BuEWjYTR8830XtRMkAjByOzxhbX59%2Bh3jJ4HhWBupftSeuoRGYGeuAiNMKP7seRl2vud7I9PkdZJdCYyq2ITJsWB6Hfia7coQj19av59SslDOk%2FiyfiwiFmAe7P7b7eRrPWQTV13%2BINU54N3Vri9nS15IhzZ4nBkAsG7T3SYSykZi2lXaJ%2FC3OY2g22gltkDxmXmvPiIo3%2Bhihjszs5%2FtJmrO7JqcagthYXk5h30hCUNt1uzM5aHWdIiuZ9BtlvEc7HONQebEunOOElopJinp9Af09YfcwEJbvwBdChMhISVN12qE7AF6XzsJIMkFY2%2BIn7xrW6%2FM82G%2F1HXGbKEggJrJoqylE%2Bx7%2FM9hSAxZ7CQpcU1PoZvfjaMIPgIRaqNd7uxOm5a0kySHinfaHiR7UProCS%2FmoL4%2F7G96%2FJW%2F%2FKy14qwCcAlkLIeL6SPHMQaE%2BcG9tC19eVNUYOt2el0SO5V6OuB0OiyDb89%2BES2bRavVaGI7DRu7o2ENXN1wSSz%2BGpvob3okoHP1JkxXAInH2apd%2F97iYb4upAINP%2Bu%2FGrHGF8puxtDJppo7ThCpgZQYXOtf0Xwb0%2FG6LyuySeOzcvt87evPJs6ysPOEvLXpweL%2FmQRqCB28h3XuBf%2F5PJl7%2FPwM%2BTCXEzkC2ebCvP4CVY1eREAWfkazip3GkylHT20rHtBxW9Emx%2F8ouwouXelLpelwtxTRLLdGwoL%2Bsty%2BStFUtIKMD%2FQ9mv1VoSZSemoBSAEkGdlpfOZFxguwZ9o3DgJXuq%2FN4WDEEPaSjPT%2FjDKpDU4XDmpGuaoVZ8phA5ZUjhIpTdpwY3A2LQinqK6YqKpYNHCy193sFGvR8ak9MJLoiKMGOrEBF8Sx7EE8qsnREcMD302wZiyMsVh4mdUOXVy%2FFHb0BWH%2BqJmA04lRxoE8jTurjVvRw1yydpYi5XkCh3HHbY5d6rM3wZH5XPND%2Bn7VRwsXp5b5QCa4S9o2T20SM6ANPkuKt88f%2BIHzgXS%2Bhv9VExbFPRQwQ3noDnSKTbSCRLOjQHL2ADDMu4eh8KsG7jIXHbDd4VJUoihd0M7L08OHWVqXhcmocjnle12qoyuohtY2MoQd&amp;X-Amz-Algorithm=AWS4-HMAC-SHA256&amp;X-Amz-Date=20230515T144048Z&amp;X-Amz-SignedHeaders=host&amp;X-Amz-Expires=300&amp;X-Amz-Credential=ASIAQ3PHCVTY4FGZZ3VL%2F20230515%2Fus-east-1%2Fs3%2Faws4_request&amp;X-Amz-Signature=12306a5c8be7aadcb7a6b6ad465c8b70927c9dbe810f99a555c3ad6f50e4552a&amp;hash=1253096fda83c99ab8ad54c052d54a8f303a01d290de09789139ac59f35cf2c6&amp;host=68042c943591013ac2b2430a89b270f6af2c76d8dfd086a07176afe7c76c2c61&amp;pii=S1877705817326073&amp;tid=spdf-872f9be9-0bda-465f-9eda-51c00feb1671&amp;sid=37e87e35993987424e791e20c6b4c17a43b6gxrqb&amp;type=client&amp;tsoh=d3d3LnNjaWVuY2VkaXJlY3QuY29t&amp;ua=1e03500c50065156520554&amp;rr=7c7c235e7c8c1e64&amp;cc=de</t>
  </si>
  <si>
    <t>Mobility-as-a-Service (MaaS): MaaS platforms integrate various transportation options such as public transit, ride-sharing, bike-sharing, and car-sharing into a single digital platform. By providing seamless access to multiple modes of transportation, MaaS can encourage people to choose more sustainable and efficient travel options, thereby reducing emissions.</t>
  </si>
  <si>
    <t>Big Data Analytics: By collecting and analyzing large amounts of data from various sources such as vehicles, infrastructure, and users, big data analytics can help identify patterns, optimize traffic management, improve logistics, and enable more efficient transportation systems.</t>
  </si>
  <si>
    <t>1.A.1</t>
  </si>
  <si>
    <t>1.A.2</t>
  </si>
  <si>
    <t>1.A.3</t>
  </si>
  <si>
    <t>1.A.4 &amp; 1.A.5</t>
  </si>
  <si>
    <t>1.B</t>
  </si>
  <si>
    <t>CRF 2</t>
  </si>
  <si>
    <t>CRF 3</t>
  </si>
  <si>
    <t>CRF 5</t>
  </si>
  <si>
    <t>Energiewirtschaft / Energy Industries</t>
  </si>
  <si>
    <t>Verarbeitendes Gewerbe / Manufacturing Industries and Construction</t>
  </si>
  <si>
    <t>Verkehr/Transport</t>
  </si>
  <si>
    <t>Übrige Feuerungsanlagen &amp; sonstige kleine Quellen / Other Sectors &amp; other small sources***</t>
  </si>
  <si>
    <t>Diffuse Emissionen aus Brennstoffen / Fugitive Emissions from Fuels</t>
  </si>
  <si>
    <t>Industrieprozesse/Industrial Processes</t>
  </si>
  <si>
    <t>Landwirtschaft/Agriculture</t>
  </si>
  <si>
    <t>Abfall &amp; Abwasser / Waste &amp; Waste Water</t>
  </si>
  <si>
    <t>Summe/Sum*</t>
  </si>
  <si>
    <t>2020**</t>
  </si>
</sst>
</file>

<file path=xl/styles.xml><?xml version="1.0" encoding="utf-8"?>
<styleSheet xmlns="http://schemas.openxmlformats.org/spreadsheetml/2006/main">
  <numFmts count="2">
    <numFmt numFmtId="0" formatCode="General"/>
    <numFmt numFmtId="59" formatCode="#,##0.0"/>
  </numFmts>
  <fonts count="10">
    <font>
      <sz val="11"/>
      <color indexed="8"/>
      <name val="Calibri"/>
    </font>
    <font>
      <sz val="12"/>
      <color indexed="8"/>
      <name val="Helvetica Neue"/>
    </font>
    <font>
      <sz val="15"/>
      <color indexed="8"/>
      <name val="Calibri"/>
    </font>
    <font>
      <u val="single"/>
      <sz val="11"/>
      <color indexed="11"/>
      <name val="Calibri"/>
    </font>
    <font>
      <sz val="11"/>
      <color indexed="12"/>
      <name val="Roboto"/>
    </font>
    <font>
      <b val="1"/>
      <sz val="10"/>
      <color indexed="8"/>
      <name val="Cambria"/>
    </font>
    <font>
      <b val="1"/>
      <sz val="10"/>
      <color indexed="13"/>
      <name val="Cambria"/>
    </font>
    <font>
      <b val="1"/>
      <sz val="9"/>
      <color indexed="10"/>
      <name val="Cambria"/>
    </font>
    <font>
      <b val="1"/>
      <sz val="9"/>
      <color indexed="13"/>
      <name val="Cambria"/>
    </font>
    <font>
      <sz val="9"/>
      <color indexed="13"/>
      <name val="Cambria"/>
    </font>
  </fonts>
  <fills count="5">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style="thin">
        <color indexed="10"/>
      </right>
      <top/>
      <bottom/>
      <diagonal/>
    </border>
    <border>
      <left style="thin">
        <color indexed="10"/>
      </left>
      <right style="thin">
        <color indexed="10"/>
      </right>
      <top/>
      <bottom/>
      <diagonal/>
    </border>
    <border>
      <left style="thin">
        <color indexed="9"/>
      </left>
      <right style="dotted">
        <color indexed="8"/>
      </right>
      <top/>
      <bottom/>
      <diagonal/>
    </border>
    <border>
      <left style="dotted">
        <color indexed="8"/>
      </left>
      <right style="dotted">
        <color indexed="8"/>
      </right>
      <top/>
      <bottom/>
      <diagonal/>
    </border>
    <border>
      <left style="thin">
        <color indexed="9"/>
      </left>
      <right style="dotted">
        <color indexed="8"/>
      </right>
      <top/>
      <bottom style="thin">
        <color indexed="9"/>
      </bottom>
      <diagonal/>
    </border>
    <border>
      <left style="dotted">
        <color indexed="8"/>
      </left>
      <right style="dotted">
        <color indexed="8"/>
      </right>
      <top/>
      <bottom style="thin">
        <color indexed="9"/>
      </bottom>
      <diagonal/>
    </border>
  </borders>
  <cellStyleXfs count="1">
    <xf numFmtId="0" fontId="0" applyNumberFormat="0" applyFont="1" applyFill="0" applyBorder="0" applyAlignment="1" applyProtection="0">
      <alignment vertical="bottom"/>
    </xf>
  </cellStyleXfs>
  <cellXfs count="2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fillId="2" borderId="1" applyNumberFormat="1" applyFont="1" applyFill="1" applyBorder="1" applyAlignment="1" applyProtection="0">
      <alignment vertical="bottom"/>
    </xf>
    <xf numFmtId="2" fontId="0" fillId="2" borderId="1" applyNumberFormat="1" applyFont="1" applyFill="1" applyBorder="1" applyAlignment="1" applyProtection="0">
      <alignment vertical="bottom"/>
    </xf>
    <xf numFmtId="2" fontId="0" borderId="1" applyNumberFormat="1" applyFont="1" applyFill="0" applyBorder="1" applyAlignment="1" applyProtection="0">
      <alignment vertical="bottom"/>
    </xf>
    <xf numFmtId="9" fontId="0" borderId="1" applyNumberFormat="1" applyFont="1" applyFill="0" applyBorder="1" applyAlignment="1" applyProtection="0">
      <alignment vertical="bottom"/>
    </xf>
    <xf numFmtId="0" fontId="0" fillId="2" borderId="1" applyNumberFormat="0" applyFont="1" applyFill="1" applyBorder="1" applyAlignment="1" applyProtection="0">
      <alignment vertical="bottom"/>
    </xf>
    <xf numFmtId="49" fontId="4"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5" borderId="2" applyNumberFormat="0" applyFont="1" applyFill="0" applyBorder="1" applyAlignment="1" applyProtection="0">
      <alignment horizontal="center" vertical="bottom"/>
    </xf>
    <xf numFmtId="49" fontId="5" borderId="3" applyNumberFormat="1" applyFont="1" applyFill="0" applyBorder="1" applyAlignment="1" applyProtection="0">
      <alignment horizontal="center" vertical="bottom"/>
    </xf>
    <xf numFmtId="49" fontId="5" fillId="2" borderId="3" applyNumberFormat="1" applyFont="1" applyFill="1" applyBorder="1" applyAlignment="1" applyProtection="0">
      <alignment horizontal="center" vertical="center"/>
    </xf>
    <xf numFmtId="0" fontId="6" borderId="4" applyNumberFormat="0" applyFont="1" applyFill="0" applyBorder="1" applyAlignment="1" applyProtection="0">
      <alignment vertical="bottom"/>
    </xf>
    <xf numFmtId="0" fontId="7" fillId="3" borderId="5" applyNumberFormat="0" applyFont="1" applyFill="1" applyBorder="1" applyAlignment="1" applyProtection="0">
      <alignment horizontal="left" vertical="center" wrapText="1"/>
    </xf>
    <xf numFmtId="49" fontId="7" fillId="3" borderId="6" applyNumberFormat="1" applyFont="1" applyFill="1" applyBorder="1" applyAlignment="1" applyProtection="0">
      <alignment horizontal="center" vertical="center" wrapText="1"/>
    </xf>
    <xf numFmtId="0" fontId="8" fillId="2" borderId="7" applyNumberFormat="1" applyFont="1" applyFill="1" applyBorder="1" applyAlignment="1" applyProtection="0">
      <alignment horizontal="left" vertical="center" wrapText="1"/>
    </xf>
    <xf numFmtId="59" fontId="9" fillId="2" borderId="8" applyNumberFormat="1" applyFont="1" applyFill="1" applyBorder="1" applyAlignment="1" applyProtection="0">
      <alignment horizontal="right" vertical="center" wrapText="1"/>
    </xf>
    <xf numFmtId="3" fontId="9" fillId="2" borderId="8" applyNumberFormat="1" applyFont="1" applyFill="1" applyBorder="1" applyAlignment="1" applyProtection="0">
      <alignment horizontal="right" vertical="center" wrapText="1"/>
    </xf>
    <xf numFmtId="0" fontId="8" fillId="4" borderId="7" applyNumberFormat="1" applyFont="1" applyFill="1" applyBorder="1" applyAlignment="1" applyProtection="0">
      <alignment horizontal="left" vertical="center" wrapText="1"/>
    </xf>
    <xf numFmtId="59" fontId="9" fillId="4" borderId="8" applyNumberFormat="1" applyFont="1" applyFill="1" applyBorder="1" applyAlignment="1" applyProtection="0">
      <alignment horizontal="right" vertical="center" wrapText="1"/>
    </xf>
    <xf numFmtId="3" fontId="9" fillId="4" borderId="8" applyNumberFormat="1" applyFont="1" applyFill="1" applyBorder="1" applyAlignment="1" applyProtection="0">
      <alignment horizontal="right" vertical="center" wrapText="1"/>
    </xf>
    <xf numFmtId="49" fontId="8" fillId="2" borderId="9" applyNumberFormat="1" applyFont="1" applyFill="1" applyBorder="1" applyAlignment="1" applyProtection="0">
      <alignment horizontal="left" vertical="center" wrapText="1"/>
    </xf>
    <xf numFmtId="59" fontId="9" fillId="2" borderId="10" applyNumberFormat="1" applyFont="1" applyFill="1" applyBorder="1" applyAlignment="1" applyProtection="0">
      <alignment horizontal="right" vertical="center" wrapText="1"/>
    </xf>
    <xf numFmtId="3" fontId="9" fillId="2" borderId="10" applyNumberFormat="1" applyFont="1" applyFill="1" applyBorder="1" applyAlignment="1" applyProtection="0">
      <alignment horizontal="righ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0563c1"/>
      <rgbColor rgb="ff333333"/>
      <rgbColor rgb="ff080808"/>
      <rgbColor rgb="ffe6e6e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www.agora-verkehrswende.de/fileadmin/Projekte/2017/Klimaschutzszenarien/Agora_Verkehrswende_Flottengrenzwerte_EN_WEB.pdf" TargetMode="External"/><Relationship Id="rId2" Type="http://schemas.openxmlformats.org/officeDocument/2006/relationships/hyperlink" Target="https://www.chademo.com/economic-benefits-and-co2-saving-to-the-electricity-system-quantified-in-a-new-v2g-study-in-the-uk" TargetMode="External"/><Relationship Id="rId3" Type="http://schemas.openxmlformats.org/officeDocument/2006/relationships/hyperlink" Target="https://www.bitkom.org/sites/main/files/2021-10/20211010_bitkom_studie_klimaeffekte_der_digitalisierung.pdf" TargetMode="External"/><Relationship Id="rId4" Type="http://schemas.openxmlformats.org/officeDocument/2006/relationships/hyperlink" Target="https://www.bitkom.org/sites/main/files/2021-10/20211010_bitkom_studie_klimaeffekte_der_digitalisierung.pdf" TargetMode="External"/><Relationship Id="rId5" Type="http://schemas.openxmlformats.org/officeDocument/2006/relationships/hyperlink" Target="https://www.bitkom.org/sites/main/files/2021-10/20211010_bitkom_studie_klimaeffekte_der_digitalisierung.pdf" TargetMode="External"/><Relationship Id="rId6" Type="http://schemas.openxmlformats.org/officeDocument/2006/relationships/hyperlink" Target="https://www.pnnl.gov/main/publications/external/technical_reports/PNNL-19112rev1.pdf,%20https:/www.bitkom.org/sites/main/files/2021-10/20211010_bitkom_studie_klimaeffekte_der_digitalisierung.pdf" TargetMode="External"/><Relationship Id="rId7" Type="http://schemas.openxmlformats.org/officeDocument/2006/relationships/hyperlink" Target="https://www.bitkom.org/sites/main/files/2021-10/20211010_bitkom_studie_klimaeffekte_der_digitalisierung.pdf" TargetMode="External"/><Relationship Id="rId8" Type="http://schemas.openxmlformats.org/officeDocument/2006/relationships/hyperlink" Target="https://www.bitkom.org/sites/main/files/2021-10/20211010_bitkom_studie_klimaeffekte_der_digitalisierung.pdf" TargetMode="External"/><Relationship Id="rId9" Type="http://schemas.openxmlformats.org/officeDocument/2006/relationships/hyperlink" Target="https://www.bitkom.org/sites/main/files/2021-10/20211010_bitkom_studie_klimaeffekte_der_digitalisierung.pdf" TargetMode="External"/><Relationship Id="rId10" Type="http://schemas.openxmlformats.org/officeDocument/2006/relationships/hyperlink" Target="https://www.bitkom.org/sites/main/files/2021-10/20211010_bitkom_studie_klimaeffekte_der_digitalisierung.pdf" TargetMode="External"/><Relationship Id="rId11" Type="http://schemas.openxmlformats.org/officeDocument/2006/relationships/hyperlink" Target="https://www.bitkom.org/sites/main/files/2021-10/20211010_bitkom_studie_klimaeffekte_der_digitalisierung.pdf" TargetMode="External"/><Relationship Id="rId12" Type="http://schemas.openxmlformats.org/officeDocument/2006/relationships/hyperlink" Target="https://studenttheses.uu.nl/handle/20.500.12932/21922" TargetMode="External"/><Relationship Id="rId13" Type="http://schemas.openxmlformats.org/officeDocument/2006/relationships/hyperlink" Target="https://www.bitkom.org/sites/main/files/2021-10/20211010_bitkom_studie_klimaeffekte_der_digitalisierung.pdf" TargetMode="External"/><Relationship Id="rId14" Type="http://schemas.openxmlformats.org/officeDocument/2006/relationships/hyperlink" Target="https://www.bitkom.org/sites/main/files/2021-10/20211010_bitkom_studie_klimaeffekte_der_digitalisierung.pdf" TargetMode="External"/><Relationship Id="rId15" Type="http://schemas.openxmlformats.org/officeDocument/2006/relationships/hyperlink" Target="https://www.bitkom.org/sites/main/files/2021-10/20211010_bitkom_studie_klimaeffekte_der_digitalisierung.pdf" TargetMode="External"/><Relationship Id="rId16" Type="http://schemas.openxmlformats.org/officeDocument/2006/relationships/hyperlink" Target="https://rmi.org/clean-energy-101-virtual-power-plants/" TargetMode="External"/><Relationship Id="rId17" Type="http://schemas.openxmlformats.org/officeDocument/2006/relationships/hyperlink" Target="https://www.researchgate.net/publication/350976483_Supply_chain_optimization_framework_for_CO_2_capture_utilization_and_storage_in_Germany" TargetMode="External"/><Relationship Id="rId18" Type="http://schemas.openxmlformats.org/officeDocument/2006/relationships/hyperlink" Target="https://acris.aalto.fi/ws/portalfiles/portal/80126546/Cost_savings_and_CO2_emissions_reduction_potential_in_the_German_district_heating_system_with_demand_response.pdf" TargetMode="External"/><Relationship Id="rId19" Type="http://schemas.openxmlformats.org/officeDocument/2006/relationships/hyperlink" Target="https://www.hydropoint.com/blog/why-water-conservation-is-critical-to-achieving-decarbonization/" TargetMode="External"/></Relationships>

</file>

<file path=xl/worksheets/sheet1.xml><?xml version="1.0" encoding="utf-8"?>
<worksheet xmlns:r="http://schemas.openxmlformats.org/officeDocument/2006/relationships" xmlns="http://schemas.openxmlformats.org/spreadsheetml/2006/main">
  <dimension ref="A1:G53"/>
  <sheetViews>
    <sheetView workbookViewId="0" showGridLines="0" defaultGridColor="1"/>
  </sheetViews>
  <sheetFormatPr defaultColWidth="8.83333" defaultRowHeight="15" customHeight="1" outlineLevelRow="0" outlineLevelCol="0"/>
  <cols>
    <col min="1" max="2" width="59" style="1" customWidth="1"/>
    <col min="3" max="3" width="8.85156" style="1" customWidth="1"/>
    <col min="4" max="4" width="25.5" style="1" customWidth="1"/>
    <col min="5" max="5" width="44" style="1" customWidth="1"/>
    <col min="6" max="6" width="34.5" style="1" customWidth="1"/>
    <col min="7" max="7" width="8.85156" style="1" customWidth="1"/>
    <col min="8" max="16384" width="8.85156" style="1" customWidth="1"/>
  </cols>
  <sheetData>
    <row r="1" ht="13.55" customHeight="1">
      <c r="A1" t="s" s="2">
        <v>0</v>
      </c>
      <c r="B1" t="s" s="2">
        <v>1</v>
      </c>
      <c r="C1" t="s" s="2">
        <v>2</v>
      </c>
      <c r="D1" t="s" s="2">
        <v>3</v>
      </c>
      <c r="E1" t="s" s="3">
        <v>4</v>
      </c>
      <c r="F1" t="s" s="3">
        <v>5</v>
      </c>
      <c r="G1" t="s" s="2">
        <v>6</v>
      </c>
    </row>
    <row r="2" ht="13.55" customHeight="1">
      <c r="A2" t="s" s="2">
        <v>7</v>
      </c>
      <c r="B2" t="s" s="2">
        <v>8</v>
      </c>
      <c r="C2" t="s" s="2">
        <v>9</v>
      </c>
      <c r="D2" s="4"/>
      <c r="E2" s="5">
        <v>20</v>
      </c>
      <c r="F2" s="6">
        <v>20</v>
      </c>
      <c r="G2" t="s" s="2">
        <v>10</v>
      </c>
    </row>
    <row r="3" ht="13.55" customHeight="1">
      <c r="A3" t="s" s="2">
        <v>11</v>
      </c>
      <c r="B3" t="s" s="2">
        <v>12</v>
      </c>
      <c r="C3" t="s" s="2">
        <v>9</v>
      </c>
      <c r="D3" s="4"/>
      <c r="E3" t="s" s="3">
        <v>13</v>
      </c>
      <c r="F3" s="6">
        <v>6e-05</v>
      </c>
      <c r="G3" t="s" s="2">
        <v>14</v>
      </c>
    </row>
    <row r="4" ht="13.55" customHeight="1">
      <c r="A4" t="s" s="2">
        <v>15</v>
      </c>
      <c r="B4" t="s" s="2">
        <v>15</v>
      </c>
      <c r="C4" t="s" s="2">
        <v>16</v>
      </c>
      <c r="D4" s="4"/>
      <c r="E4" t="s" s="3">
        <v>17</v>
      </c>
      <c r="F4" s="6">
        <v>10</v>
      </c>
      <c r="G4" t="s" s="2">
        <v>18</v>
      </c>
    </row>
    <row r="5" ht="13.55" customHeight="1">
      <c r="A5" t="s" s="2">
        <v>19</v>
      </c>
      <c r="B5" t="s" s="2">
        <v>19</v>
      </c>
      <c r="C5" t="s" s="2">
        <v>9</v>
      </c>
      <c r="D5" s="4"/>
      <c r="E5" t="s" s="3">
        <v>20</v>
      </c>
      <c r="F5" s="6">
        <v>11</v>
      </c>
      <c r="G5" t="s" s="2">
        <v>18</v>
      </c>
    </row>
    <row r="6" ht="13.55" customHeight="1">
      <c r="A6" t="s" s="2">
        <v>21</v>
      </c>
      <c r="B6" t="s" s="2">
        <v>21</v>
      </c>
      <c r="C6" t="s" s="2">
        <v>22</v>
      </c>
      <c r="D6" s="4"/>
      <c r="E6" t="s" s="3">
        <v>23</v>
      </c>
      <c r="F6" s="6">
        <v>13</v>
      </c>
      <c r="G6" t="s" s="2">
        <v>18</v>
      </c>
    </row>
    <row r="7" ht="13.55" customHeight="1">
      <c r="A7" t="s" s="2">
        <v>24</v>
      </c>
      <c r="B7" t="s" s="2">
        <v>25</v>
      </c>
      <c r="C7" t="s" s="2">
        <v>26</v>
      </c>
      <c r="D7" s="7">
        <v>18</v>
      </c>
      <c r="E7" t="s" s="3">
        <v>27</v>
      </c>
      <c r="F7" s="6">
        <v>15.5</v>
      </c>
      <c r="G7" t="s" s="2">
        <v>28</v>
      </c>
    </row>
    <row r="8" ht="13.55" customHeight="1">
      <c r="A8" t="s" s="2">
        <v>29</v>
      </c>
      <c r="B8" t="s" s="2">
        <v>29</v>
      </c>
      <c r="C8" t="s" s="2">
        <v>30</v>
      </c>
      <c r="D8" s="4"/>
      <c r="E8" t="s" s="3">
        <v>31</v>
      </c>
      <c r="F8" s="6">
        <v>2.5</v>
      </c>
      <c r="G8" t="s" s="2">
        <v>18</v>
      </c>
    </row>
    <row r="9" ht="13.55" customHeight="1">
      <c r="A9" t="s" s="2">
        <v>32</v>
      </c>
      <c r="B9" t="s" s="2">
        <v>33</v>
      </c>
      <c r="C9" t="s" s="2">
        <v>9</v>
      </c>
      <c r="D9" s="4"/>
      <c r="E9" t="s" s="3">
        <v>34</v>
      </c>
      <c r="F9" s="6">
        <v>2.5</v>
      </c>
      <c r="G9" t="s" s="2">
        <v>18</v>
      </c>
    </row>
    <row r="10" ht="13.55" customHeight="1">
      <c r="A10" t="s" s="2">
        <v>35</v>
      </c>
      <c r="B10" t="s" s="2">
        <v>35</v>
      </c>
      <c r="C10" t="s" s="2">
        <v>36</v>
      </c>
      <c r="D10" s="4"/>
      <c r="E10" t="s" s="3">
        <v>37</v>
      </c>
      <c r="F10" s="6">
        <v>24.5</v>
      </c>
      <c r="G10" t="s" s="2">
        <v>18</v>
      </c>
    </row>
    <row r="11" ht="13.55" customHeight="1">
      <c r="A11" t="s" s="2">
        <v>38</v>
      </c>
      <c r="B11" t="s" s="2">
        <v>39</v>
      </c>
      <c r="C11" t="s" s="2">
        <v>36</v>
      </c>
      <c r="D11" s="4"/>
      <c r="E11" t="s" s="3">
        <v>40</v>
      </c>
      <c r="F11" s="6">
        <v>26</v>
      </c>
      <c r="G11" t="s" s="2">
        <v>18</v>
      </c>
    </row>
    <row r="12" ht="13.55" customHeight="1">
      <c r="A12" t="s" s="2">
        <v>41</v>
      </c>
      <c r="B12" t="s" s="2">
        <v>41</v>
      </c>
      <c r="C12" t="s" s="2">
        <v>30</v>
      </c>
      <c r="D12" s="4"/>
      <c r="E12" t="s" s="3">
        <v>42</v>
      </c>
      <c r="F12" s="6">
        <v>3</v>
      </c>
      <c r="G12" t="s" s="2">
        <v>18</v>
      </c>
    </row>
    <row r="13" ht="13.55" customHeight="1">
      <c r="A13" t="s" s="2">
        <v>43</v>
      </c>
      <c r="B13" t="s" s="2">
        <v>44</v>
      </c>
      <c r="C13" t="s" s="2">
        <v>22</v>
      </c>
      <c r="D13" s="4"/>
      <c r="E13" t="s" s="3">
        <v>45</v>
      </c>
      <c r="F13" s="6">
        <v>3.1</v>
      </c>
      <c r="G13" t="s" s="2">
        <v>46</v>
      </c>
    </row>
    <row r="14" ht="13.55" customHeight="1">
      <c r="A14" t="s" s="2">
        <v>47</v>
      </c>
      <c r="B14" t="s" s="2">
        <v>47</v>
      </c>
      <c r="C14" t="s" s="2">
        <v>22</v>
      </c>
      <c r="D14" s="4"/>
      <c r="E14" t="s" s="3">
        <v>48</v>
      </c>
      <c r="F14" s="6">
        <v>6</v>
      </c>
      <c r="G14" t="s" s="2">
        <v>18</v>
      </c>
    </row>
    <row r="15" ht="13.55" customHeight="1">
      <c r="A15" t="s" s="2">
        <v>49</v>
      </c>
      <c r="B15" t="s" s="2">
        <v>50</v>
      </c>
      <c r="C15" t="s" s="2">
        <v>26</v>
      </c>
      <c r="D15" s="8"/>
      <c r="E15" t="s" s="3">
        <v>51</v>
      </c>
      <c r="F15" s="6">
        <v>6.5</v>
      </c>
      <c r="G15" t="s" s="2">
        <v>18</v>
      </c>
    </row>
    <row r="16" ht="13.55" customHeight="1">
      <c r="A16" t="s" s="2">
        <v>52</v>
      </c>
      <c r="B16" t="s" s="2">
        <v>52</v>
      </c>
      <c r="C16" t="s" s="2">
        <v>9</v>
      </c>
      <c r="D16" s="4"/>
      <c r="E16" t="s" s="3">
        <v>53</v>
      </c>
      <c r="F16" s="6">
        <v>6.5</v>
      </c>
      <c r="G16" t="s" s="2">
        <v>18</v>
      </c>
    </row>
    <row r="17" ht="13.55" customHeight="1">
      <c r="A17" t="s" s="2">
        <v>54</v>
      </c>
      <c r="B17" t="s" s="2">
        <v>54</v>
      </c>
      <c r="C17" t="s" s="2">
        <v>26</v>
      </c>
      <c r="D17" s="4"/>
      <c r="E17" s="9"/>
      <c r="F17" s="9"/>
      <c r="G17" s="4"/>
    </row>
    <row r="18" ht="13.55" customHeight="1">
      <c r="A18" t="s" s="2">
        <v>55</v>
      </c>
      <c r="B18" t="s" s="2">
        <v>55</v>
      </c>
      <c r="C18" t="s" s="2">
        <v>26</v>
      </c>
      <c r="D18" s="4"/>
      <c r="E18" s="9"/>
      <c r="F18" s="9"/>
      <c r="G18" s="4"/>
    </row>
    <row r="19" ht="13.55" customHeight="1">
      <c r="A19" t="s" s="2">
        <v>56</v>
      </c>
      <c r="B19" t="s" s="2">
        <v>56</v>
      </c>
      <c r="C19" t="s" s="2">
        <v>26</v>
      </c>
      <c r="D19" s="4"/>
      <c r="E19" s="9"/>
      <c r="F19" s="9"/>
      <c r="G19" t="s" s="2">
        <v>57</v>
      </c>
    </row>
    <row r="20" ht="13.55" customHeight="1">
      <c r="A20" t="s" s="2">
        <v>58</v>
      </c>
      <c r="B20" t="s" s="2">
        <v>58</v>
      </c>
      <c r="C20" t="s" s="2">
        <v>26</v>
      </c>
      <c r="D20" s="4"/>
      <c r="E20" s="9"/>
      <c r="F20" s="9"/>
      <c r="G20" s="4"/>
    </row>
    <row r="21" ht="13.55" customHeight="1">
      <c r="A21" t="s" s="2">
        <v>59</v>
      </c>
      <c r="B21" t="s" s="2">
        <v>59</v>
      </c>
      <c r="C21" t="s" s="2">
        <v>26</v>
      </c>
      <c r="D21" s="4"/>
      <c r="E21" s="9"/>
      <c r="F21" s="9"/>
      <c r="G21" s="4"/>
    </row>
    <row r="22" ht="13.55" customHeight="1">
      <c r="A22" t="s" s="2">
        <v>60</v>
      </c>
      <c r="B22" t="s" s="2">
        <v>60</v>
      </c>
      <c r="C22" t="s" s="2">
        <v>26</v>
      </c>
      <c r="D22" s="4"/>
      <c r="E22" s="9"/>
      <c r="F22" s="9"/>
      <c r="G22" s="4"/>
    </row>
    <row r="23" ht="13.55" customHeight="1">
      <c r="A23" t="s" s="2">
        <v>61</v>
      </c>
      <c r="B23" t="s" s="2">
        <v>61</v>
      </c>
      <c r="C23" t="s" s="2">
        <v>26</v>
      </c>
      <c r="D23" s="4"/>
      <c r="E23" s="9"/>
      <c r="F23" s="9"/>
      <c r="G23" s="4"/>
    </row>
    <row r="24" ht="16" customHeight="1">
      <c r="A24" t="s" s="2">
        <v>62</v>
      </c>
      <c r="B24" t="s" s="2">
        <v>62</v>
      </c>
      <c r="C24" t="s" s="2">
        <v>26</v>
      </c>
      <c r="D24" t="s" s="10">
        <v>63</v>
      </c>
      <c r="E24" s="9"/>
      <c r="F24" s="9"/>
      <c r="G24" t="s" s="2">
        <v>64</v>
      </c>
    </row>
    <row r="25" ht="13.55" customHeight="1">
      <c r="A25" t="s" s="2">
        <v>65</v>
      </c>
      <c r="B25" t="s" s="2">
        <v>65</v>
      </c>
      <c r="C25" t="s" s="2">
        <v>22</v>
      </c>
      <c r="D25" s="4"/>
      <c r="E25" s="9"/>
      <c r="F25" s="9"/>
      <c r="G25" s="4"/>
    </row>
    <row r="26" ht="13.55" customHeight="1">
      <c r="A26" t="s" s="2">
        <v>66</v>
      </c>
      <c r="B26" t="s" s="2">
        <v>66</v>
      </c>
      <c r="C26" t="s" s="2">
        <v>22</v>
      </c>
      <c r="D26" s="4"/>
      <c r="E26" s="9"/>
      <c r="F26" s="9"/>
      <c r="G26" s="4"/>
    </row>
    <row r="27" ht="13.55" customHeight="1">
      <c r="A27" t="s" s="2">
        <v>67</v>
      </c>
      <c r="B27" t="s" s="2">
        <v>67</v>
      </c>
      <c r="C27" t="s" s="2">
        <v>22</v>
      </c>
      <c r="D27" s="4"/>
      <c r="E27" s="9"/>
      <c r="F27" s="9"/>
      <c r="G27" s="4"/>
    </row>
    <row r="28" ht="13.55" customHeight="1">
      <c r="A28" t="s" s="2">
        <v>68</v>
      </c>
      <c r="B28" t="s" s="2">
        <v>68</v>
      </c>
      <c r="C28" t="s" s="2">
        <v>22</v>
      </c>
      <c r="D28" s="11">
        <v>32.3</v>
      </c>
      <c r="E28" s="9"/>
      <c r="F28" s="9"/>
      <c r="G28" t="s" s="2">
        <v>69</v>
      </c>
    </row>
    <row r="29" ht="13.55" customHeight="1">
      <c r="A29" t="s" s="2">
        <v>70</v>
      </c>
      <c r="B29" t="s" s="2">
        <v>70</v>
      </c>
      <c r="C29" t="s" s="2">
        <v>22</v>
      </c>
      <c r="D29" s="4"/>
      <c r="E29" s="9"/>
      <c r="F29" s="9"/>
      <c r="G29" s="4"/>
    </row>
    <row r="30" ht="13.55" customHeight="1">
      <c r="A30" t="s" s="2">
        <v>71</v>
      </c>
      <c r="B30" t="s" s="2">
        <v>71</v>
      </c>
      <c r="C30" t="s" s="2">
        <v>22</v>
      </c>
      <c r="D30" s="4"/>
      <c r="E30" s="9"/>
      <c r="F30" s="9"/>
      <c r="G30" s="4"/>
    </row>
    <row r="31" ht="13.55" customHeight="1">
      <c r="A31" t="s" s="2">
        <v>72</v>
      </c>
      <c r="B31" t="s" s="2">
        <v>72</v>
      </c>
      <c r="C31" t="s" s="2">
        <v>22</v>
      </c>
      <c r="D31" s="4"/>
      <c r="E31" s="9"/>
      <c r="F31" s="9"/>
      <c r="G31" s="4"/>
    </row>
    <row r="32" ht="13.55" customHeight="1">
      <c r="A32" t="s" s="2">
        <v>73</v>
      </c>
      <c r="B32" t="s" s="2">
        <v>73</v>
      </c>
      <c r="C32" t="s" s="2">
        <v>36</v>
      </c>
      <c r="D32" s="4"/>
      <c r="E32" s="9"/>
      <c r="F32" s="9"/>
      <c r="G32" s="4"/>
    </row>
    <row r="33" ht="13.55" customHeight="1">
      <c r="A33" t="s" s="2">
        <v>74</v>
      </c>
      <c r="B33" t="s" s="2">
        <v>74</v>
      </c>
      <c r="C33" t="s" s="2">
        <v>36</v>
      </c>
      <c r="D33" s="4"/>
      <c r="E33" s="9"/>
      <c r="F33" s="9"/>
      <c r="G33" s="4"/>
    </row>
    <row r="34" ht="13.55" customHeight="1">
      <c r="A34" t="s" s="2">
        <v>75</v>
      </c>
      <c r="B34" t="s" s="2">
        <v>75</v>
      </c>
      <c r="C34" t="s" s="2">
        <v>36</v>
      </c>
      <c r="D34" s="4"/>
      <c r="E34" s="9"/>
      <c r="F34" s="9"/>
      <c r="G34" s="4"/>
    </row>
    <row r="35" ht="13.55" customHeight="1">
      <c r="A35" t="s" s="2">
        <v>76</v>
      </c>
      <c r="B35" t="s" s="2">
        <v>76</v>
      </c>
      <c r="C35" t="s" s="2">
        <v>36</v>
      </c>
      <c r="D35" s="4"/>
      <c r="E35" s="9"/>
      <c r="F35" s="9"/>
      <c r="G35" s="4"/>
    </row>
    <row r="36" ht="13.55" customHeight="1">
      <c r="A36" t="s" s="2">
        <v>77</v>
      </c>
      <c r="B36" t="s" s="2">
        <v>77</v>
      </c>
      <c r="C36" t="s" s="2">
        <v>36</v>
      </c>
      <c r="D36" s="4"/>
      <c r="E36" s="9"/>
      <c r="F36" s="9"/>
      <c r="G36" s="4"/>
    </row>
    <row r="37" ht="13.55" customHeight="1">
      <c r="A37" t="s" s="2">
        <v>78</v>
      </c>
      <c r="B37" t="s" s="2">
        <v>78</v>
      </c>
      <c r="C37" t="s" s="2">
        <v>36</v>
      </c>
      <c r="D37" s="4"/>
      <c r="E37" s="9"/>
      <c r="F37" s="9"/>
      <c r="G37" s="4"/>
    </row>
    <row r="38" ht="13.55" customHeight="1">
      <c r="A38" t="s" s="2">
        <v>79</v>
      </c>
      <c r="B38" t="s" s="2">
        <v>79</v>
      </c>
      <c r="C38" t="s" s="2">
        <v>36</v>
      </c>
      <c r="D38" s="4"/>
      <c r="E38" s="9"/>
      <c r="F38" s="9"/>
      <c r="G38" s="4"/>
    </row>
    <row r="39" ht="13.55" customHeight="1">
      <c r="A39" t="s" s="2">
        <v>80</v>
      </c>
      <c r="B39" t="s" s="2">
        <v>80</v>
      </c>
      <c r="C39" t="s" s="2">
        <v>36</v>
      </c>
      <c r="D39" s="4"/>
      <c r="E39" s="9"/>
      <c r="F39" s="9"/>
      <c r="G39" s="4"/>
    </row>
    <row r="40" ht="13.55" customHeight="1">
      <c r="A40" t="s" s="2">
        <v>81</v>
      </c>
      <c r="B40" t="s" s="2">
        <v>81</v>
      </c>
      <c r="C40" t="s" s="2">
        <v>36</v>
      </c>
      <c r="D40" s="4"/>
      <c r="E40" s="9"/>
      <c r="F40" s="9"/>
      <c r="G40" s="4"/>
    </row>
    <row r="41" ht="13.55" customHeight="1">
      <c r="A41" t="s" s="2">
        <v>82</v>
      </c>
      <c r="B41" t="s" s="2">
        <v>82</v>
      </c>
      <c r="C41" t="s" s="2">
        <v>30</v>
      </c>
      <c r="D41" s="4"/>
      <c r="E41" s="9"/>
      <c r="F41" s="9"/>
      <c r="G41" s="4"/>
    </row>
    <row r="42" ht="13.55" customHeight="1">
      <c r="A42" t="s" s="2">
        <v>83</v>
      </c>
      <c r="B42" t="s" s="2">
        <v>83</v>
      </c>
      <c r="C42" t="s" s="2">
        <v>30</v>
      </c>
      <c r="D42" s="4"/>
      <c r="E42" s="9"/>
      <c r="F42" s="9"/>
      <c r="G42" s="4"/>
    </row>
    <row r="43" ht="13.55" customHeight="1">
      <c r="A43" t="s" s="2">
        <v>84</v>
      </c>
      <c r="B43" t="s" s="2">
        <v>84</v>
      </c>
      <c r="C43" t="s" s="2">
        <v>30</v>
      </c>
      <c r="D43" s="4"/>
      <c r="E43" s="9"/>
      <c r="F43" s="9"/>
      <c r="G43" s="4"/>
    </row>
    <row r="44" ht="13.55" customHeight="1">
      <c r="A44" t="s" s="2">
        <v>85</v>
      </c>
      <c r="B44" t="s" s="2">
        <v>85</v>
      </c>
      <c r="C44" t="s" s="2">
        <v>30</v>
      </c>
      <c r="D44" s="4"/>
      <c r="E44" s="9"/>
      <c r="F44" s="9"/>
      <c r="G44" t="s" s="2">
        <v>86</v>
      </c>
    </row>
    <row r="45" ht="13.55" customHeight="1">
      <c r="A45" t="s" s="2">
        <v>87</v>
      </c>
      <c r="B45" t="s" s="2">
        <v>87</v>
      </c>
      <c r="C45" t="s" s="2">
        <v>30</v>
      </c>
      <c r="D45" s="4"/>
      <c r="E45" s="9"/>
      <c r="F45" s="9"/>
      <c r="G45" s="4"/>
    </row>
    <row r="46" ht="13.55" customHeight="1">
      <c r="A46" t="s" s="2">
        <v>88</v>
      </c>
      <c r="B46" t="s" s="2">
        <v>88</v>
      </c>
      <c r="C46" t="s" s="2">
        <v>30</v>
      </c>
      <c r="D46" s="4"/>
      <c r="E46" s="9"/>
      <c r="F46" s="9"/>
      <c r="G46" s="4"/>
    </row>
    <row r="47" ht="13.55" customHeight="1">
      <c r="A47" t="s" s="2">
        <v>89</v>
      </c>
      <c r="B47" t="s" s="2">
        <v>89</v>
      </c>
      <c r="C47" t="s" s="2">
        <v>30</v>
      </c>
      <c r="D47" s="4"/>
      <c r="E47" s="9"/>
      <c r="F47" s="9"/>
      <c r="G47" s="4"/>
    </row>
    <row r="48" ht="13.55" customHeight="1">
      <c r="A48" t="s" s="2">
        <v>90</v>
      </c>
      <c r="B48" t="s" s="2">
        <v>90</v>
      </c>
      <c r="C48" t="s" s="2">
        <v>30</v>
      </c>
      <c r="D48" s="4"/>
      <c r="E48" s="9"/>
      <c r="F48" s="9"/>
      <c r="G48" s="4"/>
    </row>
    <row r="49" ht="13.55" customHeight="1">
      <c r="A49" t="s" s="2">
        <v>91</v>
      </c>
      <c r="B49" t="s" s="2">
        <v>91</v>
      </c>
      <c r="C49" t="s" s="2">
        <v>9</v>
      </c>
      <c r="D49" s="4"/>
      <c r="E49" s="9"/>
      <c r="F49" s="9"/>
      <c r="G49" s="4"/>
    </row>
    <row r="50" ht="13.55" customHeight="1">
      <c r="A50" t="s" s="2">
        <v>92</v>
      </c>
      <c r="B50" t="s" s="2">
        <v>92</v>
      </c>
      <c r="C50" t="s" s="2">
        <v>9</v>
      </c>
      <c r="D50" s="4"/>
      <c r="E50" s="9"/>
      <c r="F50" s="9"/>
      <c r="G50" s="4"/>
    </row>
    <row r="51" ht="13.55" customHeight="1">
      <c r="A51" t="s" s="2">
        <v>93</v>
      </c>
      <c r="B51" t="s" s="2">
        <v>93</v>
      </c>
      <c r="C51" t="s" s="2">
        <v>9</v>
      </c>
      <c r="D51" t="s" s="2">
        <v>94</v>
      </c>
      <c r="E51" s="9"/>
      <c r="F51" s="9"/>
      <c r="G51" t="s" s="2">
        <v>95</v>
      </c>
    </row>
    <row r="52" ht="13.55" customHeight="1">
      <c r="A52" t="s" s="2">
        <v>96</v>
      </c>
      <c r="B52" t="s" s="2">
        <v>96</v>
      </c>
      <c r="C52" t="s" s="2">
        <v>9</v>
      </c>
      <c r="D52" s="4"/>
      <c r="E52" s="9"/>
      <c r="F52" s="9"/>
      <c r="G52" s="4"/>
    </row>
    <row r="53" ht="13.55" customHeight="1">
      <c r="A53" t="s" s="2">
        <v>97</v>
      </c>
      <c r="B53" t="s" s="2">
        <v>97</v>
      </c>
      <c r="C53" t="s" s="2">
        <v>9</v>
      </c>
      <c r="D53" s="4"/>
      <c r="E53" s="9"/>
      <c r="F53" s="9"/>
      <c r="G53" s="4"/>
    </row>
  </sheetData>
  <hyperlinks>
    <hyperlink ref="G2" r:id="rId1" location="" tooltip="" display="https://www.agora-verkehrswende.de/fileadmin/Projekte/2017/Klimaschutzszenarien/Agora_Verkehrswende_Flottengrenzwerte_EN_WEB.pdf"/>
    <hyperlink ref="G3" r:id="rId2" location="" tooltip="" display="https://www.chademo.com/economic-benefits-and-co2-saving-to-the-electricity-system-quantified-in-a-new-v2g-study-in-the-uk"/>
    <hyperlink ref="G4" r:id="rId3" location="" tooltip="" display="https://www.bitkom.org/sites/main/files/2021-10/20211010_bitkom_studie_klimaeffekte_der_digitalisierung.pdf"/>
    <hyperlink ref="G5" r:id="rId4" location="" tooltip="" display="https://www.bitkom.org/sites/main/files/2021-10/20211010_bitkom_studie_klimaeffekte_der_digitalisierung.pdf"/>
    <hyperlink ref="G6" r:id="rId5" location="" tooltip="" display="https://www.bitkom.org/sites/main/files/2021-10/20211010_bitkom_studie_klimaeffekte_der_digitalisierung.pdf"/>
    <hyperlink ref="G7" r:id="rId6" location="" tooltip="" display="https://www.pnnl.gov/main/publications/external/technical_reports/PNNL-19112rev1.pdf, https://www.bitkom.org/sites/main/files/2021-10/20211010_bitkom_studie_klimaeffekte_der_digitalisierung.pdf"/>
    <hyperlink ref="G8" r:id="rId7" location="" tooltip="" display="https://www.bitkom.org/sites/main/files/2021-10/20211010_bitkom_studie_klimaeffekte_der_digitalisierung.pdf"/>
    <hyperlink ref="G9" r:id="rId8" location="" tooltip="" display="https://www.bitkom.org/sites/main/files/2021-10/20211010_bitkom_studie_klimaeffekte_der_digitalisierung.pdf"/>
    <hyperlink ref="G10" r:id="rId9" location="" tooltip="" display="https://www.bitkom.org/sites/main/files/2021-10/20211010_bitkom_studie_klimaeffekte_der_digitalisierung.pdf"/>
    <hyperlink ref="G11" r:id="rId10" location="" tooltip="" display="https://www.bitkom.org/sites/main/files/2021-10/20211010_bitkom_studie_klimaeffekte_der_digitalisierung.pdf"/>
    <hyperlink ref="G12" r:id="rId11" location="" tooltip="" display="https://www.bitkom.org/sites/main/files/2021-10/20211010_bitkom_studie_klimaeffekte_der_digitalisierung.pdf"/>
    <hyperlink ref="G13" r:id="rId12" location="" tooltip="" display="https://studenttheses.uu.nl/handle/20.500.12932/21922"/>
    <hyperlink ref="G14" r:id="rId13" location="" tooltip="" display="https://www.bitkom.org/sites/main/files/2021-10/20211010_bitkom_studie_klimaeffekte_der_digitalisierung.pdf"/>
    <hyperlink ref="G15" r:id="rId14" location="" tooltip="" display="https://www.bitkom.org/sites/main/files/2021-10/20211010_bitkom_studie_klimaeffekte_der_digitalisierung.pdf"/>
    <hyperlink ref="G16" r:id="rId15" location="" tooltip="" display="https://www.bitkom.org/sites/main/files/2021-10/20211010_bitkom_studie_klimaeffekte_der_digitalisierung.pdf"/>
    <hyperlink ref="G19" r:id="rId16" location="" tooltip="" display="https://rmi.org/clean-energy-101-virtual-power-plants/"/>
    <hyperlink ref="G24" r:id="rId17" location="" tooltip="" display="https://www.researchgate.net/publication/350976483_Supply_chain_optimization_framework_for_CO_2_capture_utilization_and_storage_in_Germany"/>
    <hyperlink ref="G28" r:id="rId18" location="" tooltip="" display="https://acris.aalto.fi/ws/portalfiles/portal/80126546/Cost_savings_and_CO2_emissions_reduction_potential_in_the_German_district_heating_system_with_demand_response.pdf"/>
    <hyperlink ref="G44" r:id="rId19" location="" tooltip="" display="https://www.hydropoint.com/blog/why-water-conservation-is-critical-to-achieving-decarbonization/#:~:text=By%20rolling%20out%20smart%20irrigation,over%2084%2C000%20gallons%20of%20gasoline."/>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J33"/>
  <sheetViews>
    <sheetView workbookViewId="0" showGridLines="0" defaultGridColor="1"/>
  </sheetViews>
  <sheetFormatPr defaultColWidth="8.83333" defaultRowHeight="15" customHeight="1" outlineLevelRow="0" outlineLevelCol="0"/>
  <cols>
    <col min="1" max="10" width="8.85156" style="12" customWidth="1"/>
    <col min="11" max="16384" width="8.85156" style="12" customWidth="1"/>
  </cols>
  <sheetData>
    <row r="1" ht="15" customHeight="1">
      <c r="A1" s="13"/>
      <c r="B1" t="s" s="14">
        <v>98</v>
      </c>
      <c r="C1" t="s" s="14">
        <v>99</v>
      </c>
      <c r="D1" t="s" s="14">
        <v>100</v>
      </c>
      <c r="E1" t="s" s="15">
        <v>101</v>
      </c>
      <c r="F1" t="s" s="14">
        <v>102</v>
      </c>
      <c r="G1" t="s" s="14">
        <v>103</v>
      </c>
      <c r="H1" t="s" s="14">
        <v>104</v>
      </c>
      <c r="I1" t="s" s="14">
        <v>105</v>
      </c>
      <c r="J1" s="16"/>
    </row>
    <row r="2" ht="132.75" customHeight="1">
      <c r="A2" s="17"/>
      <c r="B2" t="s" s="18">
        <v>106</v>
      </c>
      <c r="C2" t="s" s="18">
        <v>107</v>
      </c>
      <c r="D2" t="s" s="18">
        <v>108</v>
      </c>
      <c r="E2" t="s" s="18">
        <v>109</v>
      </c>
      <c r="F2" t="s" s="18">
        <v>110</v>
      </c>
      <c r="G2" t="s" s="18">
        <v>111</v>
      </c>
      <c r="H2" t="s" s="18">
        <v>112</v>
      </c>
      <c r="I2" t="s" s="18">
        <v>113</v>
      </c>
      <c r="J2" t="s" s="18">
        <v>114</v>
      </c>
    </row>
    <row r="3" ht="14" customHeight="1">
      <c r="A3" s="19">
        <v>1990</v>
      </c>
      <c r="B3" s="20">
        <v>427.353072969089</v>
      </c>
      <c r="C3" s="20">
        <v>186.7669938254</v>
      </c>
      <c r="D3" s="20">
        <v>164.924109251419</v>
      </c>
      <c r="E3" s="20">
        <v>220.257715836440</v>
      </c>
      <c r="F3" s="20">
        <v>37.6965978882079</v>
      </c>
      <c r="G3" s="20">
        <v>96.83347097416561</v>
      </c>
      <c r="H3" s="20">
        <v>76.509488660686</v>
      </c>
      <c r="I3" s="20">
        <v>38.2354694755809</v>
      </c>
      <c r="J3" s="21">
        <f>SUM(B3:I3)</f>
        <v>1248.576918880990</v>
      </c>
    </row>
    <row r="4" ht="14" customHeight="1">
      <c r="A4" s="22">
        <v>1991</v>
      </c>
      <c r="B4" s="23">
        <v>413.164017330952</v>
      </c>
      <c r="C4" s="23">
        <v>165.351568561240</v>
      </c>
      <c r="D4" s="23">
        <v>167.828662522621</v>
      </c>
      <c r="E4" s="23">
        <v>216.883031330175</v>
      </c>
      <c r="F4" s="23">
        <v>36.6729471366122</v>
      </c>
      <c r="G4" s="23">
        <v>93.1090874414691</v>
      </c>
      <c r="H4" s="23">
        <v>69.4386796008322</v>
      </c>
      <c r="I4" s="23">
        <v>39.6125521008208</v>
      </c>
      <c r="J4" s="24">
        <f>SUM(B4:I4)</f>
        <v>1202.060546024720</v>
      </c>
    </row>
    <row r="5" ht="14" customHeight="1">
      <c r="A5" s="19">
        <v>1992</v>
      </c>
      <c r="B5" s="20">
        <v>390.616681636101</v>
      </c>
      <c r="C5" s="20">
        <v>154.801276070840</v>
      </c>
      <c r="D5" s="20">
        <v>173.567015655402</v>
      </c>
      <c r="E5" s="20">
        <v>197.567966279470</v>
      </c>
      <c r="F5" s="20">
        <v>34.391166991479</v>
      </c>
      <c r="G5" s="20">
        <v>93.3319711125977</v>
      </c>
      <c r="H5" s="20">
        <v>67.7156091722422</v>
      </c>
      <c r="I5" s="20">
        <v>40.1881372290362</v>
      </c>
      <c r="J5" s="21">
        <f>SUM(B5:I5)</f>
        <v>1152.179824147170</v>
      </c>
    </row>
    <row r="6" ht="14" customHeight="1">
      <c r="A6" s="22">
        <v>1993</v>
      </c>
      <c r="B6" s="23">
        <v>379.765260901710</v>
      </c>
      <c r="C6" s="23">
        <v>143.944659329673</v>
      </c>
      <c r="D6" s="23">
        <v>177.985544893637</v>
      </c>
      <c r="E6" s="23">
        <v>204.735071796606</v>
      </c>
      <c r="F6" s="23">
        <v>35.4257223836522</v>
      </c>
      <c r="G6" s="23">
        <v>94.5172137231538</v>
      </c>
      <c r="H6" s="23">
        <v>66.47190248649881</v>
      </c>
      <c r="I6" s="23">
        <v>39.9998904033742</v>
      </c>
      <c r="J6" s="24">
        <f>SUM(B6:I6)</f>
        <v>1142.845265918310</v>
      </c>
    </row>
    <row r="7" ht="14" customHeight="1">
      <c r="A7" s="19">
        <v>1994</v>
      </c>
      <c r="B7" s="20">
        <v>376.975007512844</v>
      </c>
      <c r="C7" s="20">
        <v>142.326553064797</v>
      </c>
      <c r="D7" s="20">
        <v>174.034017266291</v>
      </c>
      <c r="E7" s="20">
        <v>193.735054989828</v>
      </c>
      <c r="F7" s="20">
        <v>32.3442072105955</v>
      </c>
      <c r="G7" s="20">
        <v>100.296696107501</v>
      </c>
      <c r="H7" s="20">
        <v>65.94951528363239</v>
      </c>
      <c r="I7" s="20">
        <v>39.2038109450912</v>
      </c>
      <c r="J7" s="21">
        <f>SUM(B7:I7)</f>
        <v>1124.864862380580</v>
      </c>
    </row>
    <row r="8" ht="14" customHeight="1">
      <c r="A8" s="22">
        <v>1995</v>
      </c>
      <c r="B8" s="23">
        <v>367.537269002464</v>
      </c>
      <c r="C8" s="23">
        <v>145.753919741655</v>
      </c>
      <c r="D8" s="23">
        <v>177.824746749737</v>
      </c>
      <c r="E8" s="23">
        <v>195.639797620094</v>
      </c>
      <c r="F8" s="23">
        <v>31.0387416127426</v>
      </c>
      <c r="G8" s="23">
        <v>98.538807747180</v>
      </c>
      <c r="H8" s="23">
        <v>65.9963471843179</v>
      </c>
      <c r="I8" s="23">
        <v>38.2256180740243</v>
      </c>
      <c r="J8" s="24">
        <f>SUM(B8:I8)</f>
        <v>1120.555247732210</v>
      </c>
    </row>
    <row r="9" ht="14" customHeight="1">
      <c r="A9" s="19">
        <v>1996</v>
      </c>
      <c r="B9" s="20">
        <v>374.561051863132</v>
      </c>
      <c r="C9" s="20">
        <v>136.537588956123</v>
      </c>
      <c r="D9" s="20">
        <v>177.804720134436</v>
      </c>
      <c r="E9" s="20">
        <v>219.809846845633</v>
      </c>
      <c r="F9" s="20">
        <v>30.0791266785167</v>
      </c>
      <c r="G9" s="20">
        <v>96.59028569421019</v>
      </c>
      <c r="H9" s="20">
        <v>66.6311155375266</v>
      </c>
      <c r="I9" s="20">
        <v>36.7724010366385</v>
      </c>
      <c r="J9" s="21">
        <f>SUM(B9:I9)</f>
        <v>1138.786136746220</v>
      </c>
    </row>
    <row r="10" ht="14" customHeight="1">
      <c r="A10" s="22">
        <v>1997</v>
      </c>
      <c r="B10" s="23">
        <v>353.660290890222</v>
      </c>
      <c r="C10" s="23">
        <v>140.624729313242</v>
      </c>
      <c r="D10" s="23">
        <v>178.231429994213</v>
      </c>
      <c r="E10" s="23">
        <v>205.369548576111</v>
      </c>
      <c r="F10" s="23">
        <v>29.519921394038</v>
      </c>
      <c r="G10" s="23">
        <v>96.8519700463209</v>
      </c>
      <c r="H10" s="23">
        <v>65.80494204539789</v>
      </c>
      <c r="I10" s="23">
        <v>33.818112689172</v>
      </c>
      <c r="J10" s="24">
        <f>SUM(B10:I10)</f>
        <v>1103.880944948720</v>
      </c>
    </row>
    <row r="11" ht="14" customHeight="1">
      <c r="A11" s="19">
        <v>1998</v>
      </c>
      <c r="B11" s="20">
        <v>356.296110859278</v>
      </c>
      <c r="C11" s="20">
        <v>136.206376142282</v>
      </c>
      <c r="D11" s="20">
        <v>181.669828434351</v>
      </c>
      <c r="E11" s="20">
        <v>196.752009148859</v>
      </c>
      <c r="F11" s="20">
        <v>26.8485612121073</v>
      </c>
      <c r="G11" s="20">
        <v>83.0047178162954</v>
      </c>
      <c r="H11" s="20">
        <v>66.3176000704473</v>
      </c>
      <c r="I11" s="20">
        <v>31.6804282361401</v>
      </c>
      <c r="J11" s="21">
        <f>SUM(B11:I11)</f>
        <v>1078.775631919760</v>
      </c>
    </row>
    <row r="12" ht="14" customHeight="1">
      <c r="A12" s="22">
        <v>1999</v>
      </c>
      <c r="B12" s="23">
        <v>344.689936947004</v>
      </c>
      <c r="C12" s="23">
        <v>133.790803843559</v>
      </c>
      <c r="D12" s="23">
        <v>186.831231844883</v>
      </c>
      <c r="E12" s="23">
        <v>180.129657969585</v>
      </c>
      <c r="F12" s="23">
        <v>27.8186689806935</v>
      </c>
      <c r="G12" s="23">
        <v>74.92922583414951</v>
      </c>
      <c r="H12" s="23">
        <v>66.6995594583864</v>
      </c>
      <c r="I12" s="23">
        <v>30.0383588415608</v>
      </c>
      <c r="J12" s="24">
        <f>SUM(B12:I12)</f>
        <v>1044.927443719820</v>
      </c>
    </row>
    <row r="13" ht="14" customHeight="1">
      <c r="A13" s="19">
        <v>2000</v>
      </c>
      <c r="B13" s="20">
        <v>358.029301820733</v>
      </c>
      <c r="C13" s="20">
        <v>130.258784030002</v>
      </c>
      <c r="D13" s="20">
        <v>182.848067809993</v>
      </c>
      <c r="E13" s="20">
        <v>173.204398107575</v>
      </c>
      <c r="F13" s="20">
        <v>25.8873388548349</v>
      </c>
      <c r="G13" s="20">
        <v>77.83457313300291</v>
      </c>
      <c r="H13" s="20">
        <v>66.0784030324963</v>
      </c>
      <c r="I13" s="20">
        <v>28.4712203385967</v>
      </c>
      <c r="J13" s="21">
        <f>SUM(B13:I13)</f>
        <v>1042.612087127230</v>
      </c>
    </row>
    <row r="14" ht="14" customHeight="1">
      <c r="A14" s="22">
        <v>2001</v>
      </c>
      <c r="B14" s="23">
        <v>371.290203037803</v>
      </c>
      <c r="C14" s="23">
        <v>123.076631839318</v>
      </c>
      <c r="D14" s="23">
        <v>179.011521610802</v>
      </c>
      <c r="E14" s="23">
        <v>193.763052331734</v>
      </c>
      <c r="F14" s="23">
        <v>23.5091788718561</v>
      </c>
      <c r="G14" s="23">
        <v>74.4728719120928</v>
      </c>
      <c r="H14" s="23">
        <v>66.81839476098889</v>
      </c>
      <c r="I14" s="23">
        <v>26.8032049100905</v>
      </c>
      <c r="J14" s="24">
        <f>SUM(B14:I14)</f>
        <v>1058.745059274690</v>
      </c>
    </row>
    <row r="15" ht="14" customHeight="1">
      <c r="A15" s="19">
        <v>2002</v>
      </c>
      <c r="B15" s="20">
        <v>372.572186675875</v>
      </c>
      <c r="C15" s="20">
        <v>122.151680227684</v>
      </c>
      <c r="D15" s="20">
        <v>176.723589605503</v>
      </c>
      <c r="E15" s="20">
        <v>180.516770083502</v>
      </c>
      <c r="F15" s="20">
        <v>22.3064071554136</v>
      </c>
      <c r="G15" s="20">
        <v>73.08578046922889</v>
      </c>
      <c r="H15" s="20">
        <v>64.45996827024381</v>
      </c>
      <c r="I15" s="20">
        <v>25.4181888093726</v>
      </c>
      <c r="J15" s="21">
        <f>SUM(B15:I15)</f>
        <v>1037.234571296820</v>
      </c>
    </row>
    <row r="16" ht="14" customHeight="1">
      <c r="A16" s="22">
        <v>2003</v>
      </c>
      <c r="B16" s="23">
        <v>386.844150033585</v>
      </c>
      <c r="C16" s="23">
        <v>118.958776894511</v>
      </c>
      <c r="D16" s="23">
        <v>170.266355162995</v>
      </c>
      <c r="E16" s="23">
        <v>172.851985588455</v>
      </c>
      <c r="F16" s="23">
        <v>20.529828813869</v>
      </c>
      <c r="G16" s="23">
        <v>76.9786119690767</v>
      </c>
      <c r="H16" s="23">
        <v>63.8006114089619</v>
      </c>
      <c r="I16" s="23">
        <v>23.9072556594144</v>
      </c>
      <c r="J16" s="24">
        <f>SUM(B16:I16)</f>
        <v>1034.137575530870</v>
      </c>
    </row>
    <row r="17" ht="14" customHeight="1">
      <c r="A17" s="19">
        <v>2004</v>
      </c>
      <c r="B17" s="20">
        <v>384.291379543831</v>
      </c>
      <c r="C17" s="20">
        <v>118.696364995525</v>
      </c>
      <c r="D17" s="20">
        <v>169.747753561245</v>
      </c>
      <c r="E17" s="20">
        <v>162.108047996720</v>
      </c>
      <c r="F17" s="20">
        <v>17.8019624688303</v>
      </c>
      <c r="G17" s="20">
        <v>78.90508589656039</v>
      </c>
      <c r="H17" s="20">
        <v>63.3741630817123</v>
      </c>
      <c r="I17" s="20">
        <v>22.6009908120864</v>
      </c>
      <c r="J17" s="21">
        <f>SUM(B17:I17)</f>
        <v>1017.525748356510</v>
      </c>
    </row>
    <row r="18" ht="14" customHeight="1">
      <c r="A18" s="22">
        <v>2005</v>
      </c>
      <c r="B18" s="23">
        <v>379.373497189494</v>
      </c>
      <c r="C18" s="23">
        <v>115.554088203845</v>
      </c>
      <c r="D18" s="23">
        <v>161.697524774004</v>
      </c>
      <c r="E18" s="23">
        <v>159.630096885065</v>
      </c>
      <c r="F18" s="23">
        <v>16.0528118389722</v>
      </c>
      <c r="G18" s="23">
        <v>75.6538666387996</v>
      </c>
      <c r="H18" s="23">
        <v>63.3192033585238</v>
      </c>
      <c r="I18" s="23">
        <v>21.2484257300712</v>
      </c>
      <c r="J18" s="24">
        <f>SUM(B18:I18)</f>
        <v>992.529514618775</v>
      </c>
    </row>
    <row r="19" ht="14" customHeight="1">
      <c r="A19" s="19">
        <v>2006</v>
      </c>
      <c r="B19" s="20">
        <v>381.122725855964</v>
      </c>
      <c r="C19" s="20">
        <v>120.480999129127</v>
      </c>
      <c r="D19" s="20">
        <v>157.916791597369</v>
      </c>
      <c r="E19" s="20">
        <v>168.209113764294</v>
      </c>
      <c r="F19" s="20">
        <v>14.3597455405033</v>
      </c>
      <c r="G19" s="20">
        <v>75.8181995357546</v>
      </c>
      <c r="H19" s="20">
        <v>62.0398624362583</v>
      </c>
      <c r="I19" s="20">
        <v>19.4072357698875</v>
      </c>
      <c r="J19" s="21">
        <f>SUM(B19:I19)</f>
        <v>999.354673629158</v>
      </c>
    </row>
    <row r="20" ht="14" customHeight="1">
      <c r="A20" s="22">
        <v>2007</v>
      </c>
      <c r="B20" s="23">
        <v>388.418363728774</v>
      </c>
      <c r="C20" s="23">
        <v>128.315647811193</v>
      </c>
      <c r="D20" s="23">
        <v>154.744837897559</v>
      </c>
      <c r="E20" s="23">
        <v>131.442404455344</v>
      </c>
      <c r="F20" s="23">
        <v>13.0841872966561</v>
      </c>
      <c r="G20" s="23">
        <v>76.97417101946129</v>
      </c>
      <c r="H20" s="23">
        <v>62.6910962523764</v>
      </c>
      <c r="I20" s="23">
        <v>18.0979187789616</v>
      </c>
      <c r="J20" s="24">
        <f>SUM(B20:I20)</f>
        <v>973.768627240325</v>
      </c>
    </row>
    <row r="21" ht="14" customHeight="1">
      <c r="A21" s="19">
        <v>2008</v>
      </c>
      <c r="B21" s="20">
        <v>368.414168457601</v>
      </c>
      <c r="C21" s="20">
        <v>128.511316734756</v>
      </c>
      <c r="D21" s="20">
        <v>154.420017047440</v>
      </c>
      <c r="E21" s="20">
        <v>157.583790264309</v>
      </c>
      <c r="F21" s="20">
        <v>12.661481119241</v>
      </c>
      <c r="G21" s="20">
        <v>73.24681769432689</v>
      </c>
      <c r="H21" s="20">
        <v>63.0763856143757</v>
      </c>
      <c r="I21" s="20">
        <v>16.8663692424365</v>
      </c>
      <c r="J21" s="21">
        <f>SUM(B21:I21)</f>
        <v>974.780346174486</v>
      </c>
    </row>
    <row r="22" ht="14" customHeight="1">
      <c r="A22" s="22">
        <v>2009</v>
      </c>
      <c r="B22" s="23">
        <v>343.962271554692</v>
      </c>
      <c r="C22" s="23">
        <v>110.318616985264</v>
      </c>
      <c r="D22" s="23">
        <v>153.692352346417</v>
      </c>
      <c r="E22" s="23">
        <v>144.658532385378</v>
      </c>
      <c r="F22" s="23">
        <v>11.038551573813</v>
      </c>
      <c r="G22" s="23">
        <v>65.80149997822571</v>
      </c>
      <c r="H22" s="23">
        <v>63.5721294193015</v>
      </c>
      <c r="I22" s="23">
        <v>15.6444907929215</v>
      </c>
      <c r="J22" s="24">
        <f>SUM(B22:I22)</f>
        <v>908.688445036013</v>
      </c>
    </row>
    <row r="23" ht="14" customHeight="1">
      <c r="A23" s="19">
        <v>2010</v>
      </c>
      <c r="B23" s="20">
        <v>355.957662572559</v>
      </c>
      <c r="C23" s="20">
        <v>125.848211972118</v>
      </c>
      <c r="D23" s="20">
        <v>154.458586917962</v>
      </c>
      <c r="E23" s="20">
        <v>154.359182112927</v>
      </c>
      <c r="F23" s="20">
        <v>10.9044107087196</v>
      </c>
      <c r="G23" s="20">
        <v>62.5989789402299</v>
      </c>
      <c r="H23" s="20">
        <v>63.1621953025926</v>
      </c>
      <c r="I23" s="20">
        <v>14.5161068366497</v>
      </c>
      <c r="J23" s="21">
        <f>SUM(B23:I23)</f>
        <v>941.805335363758</v>
      </c>
    </row>
    <row r="24" ht="14" customHeight="1">
      <c r="A24" s="22">
        <v>2011</v>
      </c>
      <c r="B24" s="23">
        <v>353.629262541789</v>
      </c>
      <c r="C24" s="23">
        <v>122.928852875903</v>
      </c>
      <c r="D24" s="23">
        <v>156.377256427256</v>
      </c>
      <c r="E24" s="23">
        <v>133.934600733294</v>
      </c>
      <c r="F24" s="23">
        <v>10.8337138249351</v>
      </c>
      <c r="G24" s="23">
        <v>62.5303323424065</v>
      </c>
      <c r="H24" s="23">
        <v>63.3049486283406</v>
      </c>
      <c r="I24" s="23">
        <v>13.7346311508056</v>
      </c>
      <c r="J24" s="24">
        <f>SUM(B24:I24)</f>
        <v>917.273598524730</v>
      </c>
    </row>
    <row r="25" ht="14" customHeight="1">
      <c r="A25" s="19">
        <v>2012</v>
      </c>
      <c r="B25" s="20">
        <v>363.781771262452</v>
      </c>
      <c r="C25" s="20">
        <v>118.038943439846</v>
      </c>
      <c r="D25" s="20">
        <v>155.109610560599</v>
      </c>
      <c r="E25" s="20">
        <v>136.043314097679</v>
      </c>
      <c r="F25" s="20">
        <v>11.6336922960399</v>
      </c>
      <c r="G25" s="20">
        <v>61.6216889057815</v>
      </c>
      <c r="H25" s="20">
        <v>64.14758359277729</v>
      </c>
      <c r="I25" s="20">
        <v>12.965422662083</v>
      </c>
      <c r="J25" s="21">
        <f>SUM(B25:I25)</f>
        <v>923.342026817258</v>
      </c>
    </row>
    <row r="26" ht="14" customHeight="1">
      <c r="A26" s="22">
        <v>2013</v>
      </c>
      <c r="B26" s="23">
        <v>366.768332997792</v>
      </c>
      <c r="C26" s="23">
        <v>118.734599109802</v>
      </c>
      <c r="D26" s="23">
        <v>159.543902335567</v>
      </c>
      <c r="E26" s="23">
        <v>145.682502332573</v>
      </c>
      <c r="F26" s="23">
        <v>11.1804177111542</v>
      </c>
      <c r="G26" s="23">
        <v>61.3869800080646</v>
      </c>
      <c r="H26" s="23">
        <v>64.9146830308778</v>
      </c>
      <c r="I26" s="23">
        <v>12.2081218983096</v>
      </c>
      <c r="J26" s="24">
        <f>SUM(B26:I26)</f>
        <v>940.419539424140</v>
      </c>
    </row>
    <row r="27" ht="14" customHeight="1">
      <c r="A27" s="19">
        <v>2014</v>
      </c>
      <c r="B27" s="20">
        <v>347.906871601808</v>
      </c>
      <c r="C27" s="20">
        <v>118.558629014627</v>
      </c>
      <c r="D27" s="20">
        <v>160.376327928618</v>
      </c>
      <c r="E27" s="20">
        <v>124.841870621995</v>
      </c>
      <c r="F27" s="20">
        <v>10.2484578965246</v>
      </c>
      <c r="G27" s="20">
        <v>61.2588850368734</v>
      </c>
      <c r="H27" s="20">
        <v>66.4484815582602</v>
      </c>
      <c r="I27" s="20">
        <v>11.6156208655641</v>
      </c>
      <c r="J27" s="21">
        <f>SUM(B27:I27)</f>
        <v>901.255144524270</v>
      </c>
    </row>
    <row r="28" ht="14" customHeight="1">
      <c r="A28" s="22">
        <v>2015</v>
      </c>
      <c r="B28" s="23">
        <v>335.669882011575</v>
      </c>
      <c r="C28" s="23">
        <v>127.257707849273</v>
      </c>
      <c r="D28" s="23">
        <v>163.003153829969</v>
      </c>
      <c r="E28" s="23">
        <v>130.604799599705</v>
      </c>
      <c r="F28" s="23">
        <v>10.3606891367813</v>
      </c>
      <c r="G28" s="23">
        <v>60.288802556364</v>
      </c>
      <c r="H28" s="23">
        <v>66.0751532500859</v>
      </c>
      <c r="I28" s="23">
        <v>11.0016235329789</v>
      </c>
      <c r="J28" s="24">
        <f>SUM(B28:I28)</f>
        <v>904.261811766732</v>
      </c>
    </row>
    <row r="29" ht="14" customHeight="1">
      <c r="A29" s="19">
        <v>2016</v>
      </c>
      <c r="B29" s="20">
        <v>332.714477883596</v>
      </c>
      <c r="C29" s="20">
        <v>129.638027041661</v>
      </c>
      <c r="D29" s="20">
        <v>166.259545315741</v>
      </c>
      <c r="E29" s="20">
        <v>131.383304538181</v>
      </c>
      <c r="F29" s="20">
        <v>9.78652437165376</v>
      </c>
      <c r="G29" s="20">
        <v>62.1443579889931</v>
      </c>
      <c r="H29" s="20">
        <v>65.58185590067581</v>
      </c>
      <c r="I29" s="20">
        <v>10.4598130419617</v>
      </c>
      <c r="J29" s="21">
        <f>SUM(B29:I29)</f>
        <v>907.9679060824629</v>
      </c>
    </row>
    <row r="30" ht="14" customHeight="1">
      <c r="A30" s="22">
        <v>2017</v>
      </c>
      <c r="B30" s="23">
        <v>311.864407413520</v>
      </c>
      <c r="C30" s="23">
        <v>131.583373490134</v>
      </c>
      <c r="D30" s="23">
        <v>169.365196093934</v>
      </c>
      <c r="E30" s="23">
        <v>128.739890536594</v>
      </c>
      <c r="F30" s="23">
        <v>9.67640718547478</v>
      </c>
      <c r="G30" s="23">
        <v>66.1154598335104</v>
      </c>
      <c r="H30" s="23">
        <v>64.6849104707733</v>
      </c>
      <c r="I30" s="23">
        <v>10.046021896165</v>
      </c>
      <c r="J30" s="24">
        <f>SUM(B30:I30)</f>
        <v>892.075666920105</v>
      </c>
    </row>
    <row r="31" ht="14" customHeight="1">
      <c r="A31" s="19">
        <v>2018</v>
      </c>
      <c r="B31" s="20">
        <v>299.337659763202</v>
      </c>
      <c r="C31" s="20">
        <v>126.409597311366</v>
      </c>
      <c r="D31" s="20">
        <v>163.924719336604</v>
      </c>
      <c r="E31" s="20">
        <v>122.308595180511</v>
      </c>
      <c r="F31" s="20">
        <v>8.5556178322497</v>
      </c>
      <c r="G31" s="20">
        <v>63.2541749148072</v>
      </c>
      <c r="H31" s="20">
        <v>62.4873205721689</v>
      </c>
      <c r="I31" s="20">
        <v>9.61272852749125</v>
      </c>
      <c r="J31" s="21">
        <f>SUM(B31:I31)</f>
        <v>855.8904134383999</v>
      </c>
    </row>
    <row r="32" ht="14" customHeight="1">
      <c r="A32" s="22">
        <v>2019</v>
      </c>
      <c r="B32" s="23">
        <v>249.695558449970</v>
      </c>
      <c r="C32" s="23">
        <v>125.437196164584</v>
      </c>
      <c r="D32" s="23">
        <v>165.532832828239</v>
      </c>
      <c r="E32" s="23">
        <v>129.558324565827</v>
      </c>
      <c r="F32" s="23">
        <v>7.13726344226818</v>
      </c>
      <c r="G32" s="23">
        <v>61.3558747416871</v>
      </c>
      <c r="H32" s="23">
        <v>61.8389176727351</v>
      </c>
      <c r="I32" s="23">
        <v>9.2425689308009</v>
      </c>
      <c r="J32" s="24">
        <f>SUM(B32:I32)</f>
        <v>809.798536796111</v>
      </c>
    </row>
    <row r="33" ht="14" customHeight="1">
      <c r="A33" t="s" s="25">
        <v>115</v>
      </c>
      <c r="B33" s="26">
        <v>212.352954959055</v>
      </c>
      <c r="C33" s="26">
        <v>119.943820580430</v>
      </c>
      <c r="D33" s="26">
        <v>146.741473781675</v>
      </c>
      <c r="E33" s="26">
        <v>125.997175673953</v>
      </c>
      <c r="F33" s="26">
        <v>6.98697106257052</v>
      </c>
      <c r="G33" s="26">
        <v>58.1661958668608</v>
      </c>
      <c r="H33" s="26">
        <v>60.4106777686635</v>
      </c>
      <c r="I33" s="26">
        <v>8.895329544366261</v>
      </c>
      <c r="J33" s="27">
        <f>SUM(B33:I33)</f>
        <v>739.494599237574</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